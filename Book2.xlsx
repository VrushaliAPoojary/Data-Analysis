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4SN22AI062VAP\StayEase-Data-Analysis\"/>
    </mc:Choice>
  </mc:AlternateContent>
  <xr:revisionPtr revIDLastSave="0" documentId="13_ncr:1_{A1D7EC24-9919-48D9-AE95-E66D1F7CBED1}" xr6:coauthVersionLast="47" xr6:coauthVersionMax="47" xr10:uidLastSave="{00000000-0000-0000-0000-000000000000}"/>
  <bookViews>
    <workbookView xWindow="-120" yWindow="-120" windowWidth="29040" windowHeight="15720" activeTab="5" xr2:uid="{A4288E4A-1D6C-402B-A533-E1E8195B289F}"/>
  </bookViews>
  <sheets>
    <sheet name="Employees" sheetId="3" r:id="rId1"/>
    <sheet name="TASKS" sheetId="5" r:id="rId2"/>
    <sheet name="Fiction" sheetId="6" r:id="rId3"/>
    <sheet name="Academics" sheetId="7" r:id="rId4"/>
    <sheet name="Orders" sheetId="8" r:id="rId5"/>
    <sheet name="TASKS (2)" sheetId="10" r:id="rId6"/>
    <sheet name="Autofill Task" sheetId="11" r:id="rId7"/>
    <sheet name="Sheet4" sheetId="4" state="hidden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0" l="1"/>
  <c r="E12" i="10"/>
  <c r="F12" i="10"/>
  <c r="D8" i="3"/>
  <c r="E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ankit</author>
  </authors>
  <commentList>
    <comment ref="H4" authorId="0" shapeId="0" xr:uid="{AD70BB7C-4DD6-40AC-87E5-93B5DA5E1B57}">
      <text>
        <r>
          <rPr>
            <b/>
            <sz val="9"/>
            <color indexed="81"/>
            <rFont val="Tahoma"/>
            <family val="2"/>
          </rPr>
          <t>ankit:</t>
        </r>
        <r>
          <rPr>
            <sz val="9"/>
            <color indexed="81"/>
            <rFont val="Tahoma"/>
            <family val="2"/>
          </rPr>
          <t xml:space="preserve">
Sapiens is in B4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ankit</author>
  </authors>
  <commentList>
    <comment ref="H4" authorId="0" shapeId="0" xr:uid="{EEEE6CE8-32BC-46C1-B81D-F6EC9DD8B3EB}">
      <text>
        <r>
          <rPr>
            <b/>
            <sz val="9"/>
            <color indexed="81"/>
            <rFont val="Tahoma"/>
            <family val="2"/>
          </rPr>
          <t>ankit:</t>
        </r>
        <r>
          <rPr>
            <sz val="9"/>
            <color indexed="81"/>
            <rFont val="Tahoma"/>
            <family val="2"/>
          </rPr>
          <t xml:space="preserve">
Sapiens is in B4
</t>
        </r>
      </text>
    </comment>
  </commentList>
</comments>
</file>

<file path=xl/sharedStrings.xml><?xml version="1.0" encoding="utf-8"?>
<sst xmlns="http://schemas.openxmlformats.org/spreadsheetml/2006/main" count="130" uniqueCount="81">
  <si>
    <t>Employee Report</t>
  </si>
  <si>
    <t>Employee ID</t>
  </si>
  <si>
    <t>Employee Name</t>
  </si>
  <si>
    <t>Department</t>
  </si>
  <si>
    <t>Salary</t>
  </si>
  <si>
    <t>Joining Date</t>
  </si>
  <si>
    <t>E001</t>
  </si>
  <si>
    <t>Vrushali</t>
  </si>
  <si>
    <t>Data Analyst</t>
  </si>
  <si>
    <t>E002</t>
  </si>
  <si>
    <t>Pratham</t>
  </si>
  <si>
    <t>Ai Developer</t>
  </si>
  <si>
    <t>E003</t>
  </si>
  <si>
    <t>Ankitha</t>
  </si>
  <si>
    <t>IT</t>
  </si>
  <si>
    <t>E004</t>
  </si>
  <si>
    <t>Nafiya</t>
  </si>
  <si>
    <t>Finance</t>
  </si>
  <si>
    <t>Column1</t>
  </si>
  <si>
    <t>Column2</t>
  </si>
  <si>
    <t>Column3</t>
  </si>
  <si>
    <t>Column4</t>
  </si>
  <si>
    <t>Column5</t>
  </si>
  <si>
    <t>Total</t>
  </si>
  <si>
    <t>Book ID</t>
  </si>
  <si>
    <t>Title</t>
  </si>
  <si>
    <t>Author</t>
  </si>
  <si>
    <t>Genre</t>
  </si>
  <si>
    <t>Price</t>
  </si>
  <si>
    <t>Purchase Date</t>
  </si>
  <si>
    <t>B001</t>
  </si>
  <si>
    <t>The Silent Patient</t>
  </si>
  <si>
    <t>Alex Michaelides</t>
  </si>
  <si>
    <t>Thriller</t>
  </si>
  <si>
    <t>B002</t>
  </si>
  <si>
    <t>Atomic Habits</t>
  </si>
  <si>
    <t>James Clear</t>
  </si>
  <si>
    <t>Self-Help</t>
  </si>
  <si>
    <t>B003</t>
  </si>
  <si>
    <t>Sapiens</t>
  </si>
  <si>
    <t>Yuval Noah Harari</t>
  </si>
  <si>
    <t>History</t>
  </si>
  <si>
    <t>B004</t>
  </si>
  <si>
    <t>Data Science 101</t>
  </si>
  <si>
    <t>Ravi Kapoor</t>
  </si>
  <si>
    <t>Academic</t>
  </si>
  <si>
    <t>B005</t>
  </si>
  <si>
    <t>The Alchemist</t>
  </si>
  <si>
    <t>Paulo Coelho</t>
  </si>
  <si>
    <t>Fiction</t>
  </si>
  <si>
    <t>B006</t>
  </si>
  <si>
    <t>Python Crash Course</t>
  </si>
  <si>
    <t>Eric Matthes</t>
  </si>
  <si>
    <t>B007</t>
  </si>
  <si>
    <t>Ikigai</t>
  </si>
  <si>
    <t>Hector Garcia</t>
  </si>
  <si>
    <t>College Bookstore — Inventory Report</t>
  </si>
  <si>
    <t>a</t>
  </si>
  <si>
    <t>Column6</t>
  </si>
  <si>
    <t>B008</t>
  </si>
  <si>
    <t>A1</t>
  </si>
  <si>
    <t>A2</t>
  </si>
  <si>
    <t>A3</t>
  </si>
  <si>
    <t>A4</t>
  </si>
  <si>
    <t>A5</t>
  </si>
  <si>
    <t>A6</t>
  </si>
  <si>
    <t>A7</t>
  </si>
  <si>
    <t>Bookstore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</si>
  <si>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</si>
  <si>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</si>
  <si>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</si>
  <si>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</si>
  <si>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</si>
  <si>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</si>
  <si>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</si>
  <si>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</si>
  <si>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</si>
  <si>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</si>
  <si>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</si>
  <si>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</si>
  <si>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 xml:space="preserve">sum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</si>
</sst>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2" fillId="3" borderId="2" xfId="0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 wrapText="1"/>
    </xf>
    <xf numFmtId="165" fontId="2" fillId="3" borderId="2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164" fontId="0" fillId="0" borderId="2" xfId="0" applyNumberFormat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0" borderId="3" xfId="0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3" fillId="4" borderId="9" xfId="0" applyFont="1" applyFill="1" applyBorder="1" applyAlignment="1">
      <alignment horizontal="center" wrapText="1"/>
    </xf>
    <xf numFmtId="0" fontId="0" fillId="0" borderId="9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5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164" fontId="2" fillId="5" borderId="2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0" fillId="5" borderId="6" xfId="0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left"/>
    </xf>
    <xf numFmtId="0" fontId="0" fillId="5" borderId="9" xfId="0" applyFill="1" applyBorder="1" applyAlignment="1">
      <alignment horizontal="center"/>
    </xf>
    <xf numFmtId="164" fontId="0" fillId="5" borderId="9" xfId="0" applyNumberFormat="1" applyFill="1" applyBorder="1" applyAlignment="1">
      <alignment horizontal="center"/>
    </xf>
    <xf numFmtId="14" fontId="0" fillId="5" borderId="10" xfId="0" applyNumberFormat="1" applyFill="1" applyBorder="1" applyAlignment="1">
      <alignment horizontal="center"/>
    </xf>
  </cellXfs>
  <cellStyles count="1">
    <cellStyle name="Normal" xfId="0" builtinId="0"/>
  </cellStyles>
  <dxfs count="38">
    <dxf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64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numFmt numFmtId="19" formatCode="dd/mm/yyyy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₹&quot;\ #,##0.00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5" formatCode="[$-F800]dddd\,\ mmmm\ dd\,\ 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&quot;₹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4626FC-2998-4DDB-8515-74E55DD5D583}" name="Table2" displayName="Table2" ref="A3:E8" totalsRowCount="1" headerRowBorderDxfId="37" tableBorderDxfId="36" totalsRowBorderDxfId="35">
  <autoFilter ref="A3:E7" xr:uid="{004626FC-2998-4DDB-8515-74E55DD5D583}"/>
  <sortState xmlns:xlrd2="http://schemas.microsoft.com/office/spreadsheetml/2017/richdata2" ref="A4:E7">
    <sortCondition ref="B3:B7"/>
  </sortState>
  <tableColumns count="5">
    <tableColumn id="1" xr3:uid="{F6666350-0523-4E87-B98B-ACA8662D9DAC}" name="Column1" totalsRowLabel="Total" dataDxfId="34" totalsRowDxfId="33"/>
    <tableColumn id="2" xr3:uid="{4DF0B8AD-6BEC-4C17-99E0-89A2B34BB26B}" name="Column2" dataDxfId="32" totalsRowDxfId="31"/>
    <tableColumn id="3" xr3:uid="{B9E1328C-CB49-4B12-9D02-033930742093}" name="Column3" dataDxfId="30" totalsRowDxfId="29"/>
    <tableColumn id="4" xr3:uid="{777245AD-37E8-4867-B66F-C9EAF68BB27D}" name="Column4" totalsRowFunction="sum" dataDxfId="28" totalsRowDxfId="27"/>
    <tableColumn id="5" xr3:uid="{113DB798-01C5-46FD-9B71-73141F42B4C6}" name="Column5" totalsRowFunction="count" dataDxfId="26" totalsRow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0CBC1-3CCE-4EF6-A12E-4D3645256187}" name="Table3" displayName="Table3" ref="A3:F10" totalsRowShown="0" headerRowDxfId="15" dataDxfId="14" headerRowBorderDxfId="23" tableBorderDxfId="24" totalsRowBorderDxfId="22">
  <autoFilter ref="A3:F10" xr:uid="{5D40CBC1-3CCE-4EF6-A12E-4D3645256187}">
    <filterColumn colId="3">
      <filters>
        <filter val="Academic"/>
      </filters>
    </filterColumn>
  </autoFilter>
  <sortState xmlns:xlrd2="http://schemas.microsoft.com/office/spreadsheetml/2017/richdata2" ref="A4:F10">
    <sortCondition ref="E3:E10"/>
  </sortState>
  <tableColumns count="6">
    <tableColumn id="1" xr3:uid="{DF58F284-C845-47B6-AD38-8F5C816A51E5}" name="Column1" dataDxfId="21"/>
    <tableColumn id="2" xr3:uid="{4734A979-0B62-4E56-A401-76E516AFCDC5}" name="Column2" dataDxfId="20"/>
    <tableColumn id="3" xr3:uid="{7EA8C076-4169-4866-A821-4661B32DB221}" name="Column3" dataDxfId="19"/>
    <tableColumn id="4" xr3:uid="{DF14603B-D408-4D35-B9D1-5D2F52B5F45D}" name="Column4" dataDxfId="18"/>
    <tableColumn id="5" xr3:uid="{F4E90E51-A8F0-4678-A17A-5B337421B11C}" name="Column5" dataDxfId="17"/>
    <tableColumn id="6" xr3:uid="{FAD1880F-8C14-4263-AAEF-A701748407D6}" name="Column6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9C32F3-4ABC-44FB-A4C2-8580E5BD4FB1}" name="Table35" displayName="Table35" ref="A3:F12" totalsRowCount="1" headerRowDxfId="7" dataDxfId="6">
  <autoFilter ref="A3:F11" xr:uid="{5D40CBC1-3CCE-4EF6-A12E-4D3645256187}"/>
  <tableColumns count="6">
    <tableColumn id="1" xr3:uid="{505582BB-C597-4A51-83FA-F7E5F3B4567B}" name="Column1" totalsRowLabel="Total" dataDxfId="13" totalsRowDxfId="5"/>
    <tableColumn id="2" xr3:uid="{103D2904-CBB9-4747-81BB-A2BEF3443249}" name="Column2" dataDxfId="12" totalsRowDxfId="4"/>
    <tableColumn id="3" xr3:uid="{C9BDB0AB-1ED1-47CD-9B6C-67574E57EA34}" name="Column3" dataDxfId="11" totalsRowDxfId="3"/>
    <tableColumn id="4" xr3:uid="{A7156999-D486-4EBD-B0D6-70946627F949}" name="Column4" dataDxfId="10" totalsRowDxfId="2"/>
    <tableColumn id="5" xr3:uid="{C2CFC2B5-D9D1-4FC3-992E-BB2CB6C0ECE6}" name="Column5" totalsRowFunction="average" dataDxfId="9" totalsRowDxfId="1"/>
    <tableColumn id="6" xr3:uid="{89666CA8-B251-4E03-B947-3CCEAC439862}" name="Column6" totalsRowFunction="count" dataDxfId="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B48-4471-451D-B805-B40CC56BD1E4}">
  <dimension ref="A1:E8"/>
  <sheetViews>
    <sheetView zoomScale="179" zoomScaleNormal="160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3" width="19.7109375" customWidth="1"/>
    <col min="4" max="4" width="28" style="9" customWidth="1"/>
    <col min="5" max="5" width="28" style="8" customWidth="1"/>
  </cols>
  <sheetData>
    <row r="1" spans="1:5" s="1" customFormat="1" ht="18.75" x14ac:dyDescent="0.3">
      <c r="A1" s="23" t="s">
        <v>0</v>
      </c>
      <c r="B1" s="24"/>
      <c r="C1" s="24"/>
      <c r="D1" s="24"/>
      <c r="E1" s="24"/>
    </row>
    <row r="2" spans="1:5" ht="15.75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 spans="1:5" ht="15.75" x14ac:dyDescent="0.25">
      <c r="A3" s="17" t="s">
        <v>18</v>
      </c>
      <c r="B3" s="18" t="s">
        <v>19</v>
      </c>
      <c r="C3" s="19" t="s">
        <v>20</v>
      </c>
      <c r="D3" s="20" t="s">
        <v>21</v>
      </c>
      <c r="E3" s="21" t="s">
        <v>22</v>
      </c>
    </row>
    <row r="4" spans="1:5" ht="15.75" x14ac:dyDescent="0.25">
      <c r="A4" s="10" t="s">
        <v>12</v>
      </c>
      <c r="B4" s="6" t="s">
        <v>13</v>
      </c>
      <c r="C4" s="5" t="s">
        <v>14</v>
      </c>
      <c r="D4" s="7">
        <v>80000</v>
      </c>
      <c r="E4" s="11">
        <v>45669</v>
      </c>
    </row>
    <row r="5" spans="1:5" ht="15.75" x14ac:dyDescent="0.25">
      <c r="A5" s="10" t="s">
        <v>15</v>
      </c>
      <c r="B5" s="6" t="s">
        <v>16</v>
      </c>
      <c r="C5" s="5" t="s">
        <v>17</v>
      </c>
      <c r="D5" s="7">
        <v>60000</v>
      </c>
      <c r="E5" s="11">
        <v>45670</v>
      </c>
    </row>
    <row r="6" spans="1:5" ht="15.75" x14ac:dyDescent="0.25">
      <c r="A6" s="10" t="s">
        <v>9</v>
      </c>
      <c r="B6" s="6" t="s">
        <v>10</v>
      </c>
      <c r="C6" s="5" t="s">
        <v>11</v>
      </c>
      <c r="D6" s="7">
        <v>70000</v>
      </c>
      <c r="E6" s="11">
        <v>45668</v>
      </c>
    </row>
    <row r="7" spans="1:5" ht="15.75" x14ac:dyDescent="0.25">
      <c r="A7" s="12" t="s">
        <v>6</v>
      </c>
      <c r="B7" s="13" t="s">
        <v>7</v>
      </c>
      <c r="C7" s="14" t="s">
        <v>8</v>
      </c>
      <c r="D7" s="15">
        <v>60000</v>
      </c>
      <c r="E7" s="16">
        <v>45667</v>
      </c>
    </row>
    <row r="8" spans="1:5" ht="15.75" x14ac:dyDescent="0.25">
      <c r="A8" s="12" t="s">
        <v>23</v>
      </c>
      <c r="B8" s="13"/>
      <c r="C8" s="14"/>
      <c r="D8" s="15">
        <f>SUBTOTAL(109,Table2[Column4])</f>
        <v>270000</v>
      </c>
      <c r="E8" s="22">
        <f>SUBTOTAL(103,Table2[Column5])</f>
        <v>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8B8E-6FD6-4B55-962E-A2FB2B0BE124}">
  <dimension ref="A1:H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13" sqref="G13"/>
    </sheetView>
  </sheetViews>
  <sheetFormatPr defaultRowHeight="15" x14ac:dyDescent="0.25"/>
  <cols>
    <col min="1" max="1" width="15.85546875" style="25" customWidth="1"/>
    <col min="2" max="2" width="19.42578125" style="25" customWidth="1"/>
    <col min="3" max="3" width="18.42578125" style="25" customWidth="1"/>
    <col min="4" max="4" width="15.7109375" style="25" customWidth="1"/>
    <col min="5" max="5" width="13.28515625" style="25" customWidth="1"/>
    <col min="6" max="6" width="13.7109375" style="25" customWidth="1"/>
    <col min="7" max="16384" width="9.140625" style="25"/>
  </cols>
  <sheetData>
    <row r="1" spans="1:8" x14ac:dyDescent="0.25">
      <c r="A1" s="32" t="s">
        <v>56</v>
      </c>
      <c r="B1" s="32"/>
      <c r="C1" s="32"/>
      <c r="D1" s="32"/>
      <c r="E1" s="32"/>
      <c r="F1" s="32"/>
    </row>
    <row r="2" spans="1:8" ht="31.5" x14ac:dyDescent="0.25">
      <c r="A2" s="28" t="s">
        <v>24</v>
      </c>
      <c r="B2" s="29" t="s">
        <v>25</v>
      </c>
      <c r="C2" s="29" t="s">
        <v>26</v>
      </c>
      <c r="D2" s="28" t="s">
        <v>27</v>
      </c>
      <c r="E2" s="30" t="s">
        <v>28</v>
      </c>
      <c r="F2" s="31" t="s">
        <v>29</v>
      </c>
    </row>
    <row r="3" spans="1:8" x14ac:dyDescent="0.25">
      <c r="A3" s="33" t="s">
        <v>18</v>
      </c>
      <c r="B3" s="34" t="s">
        <v>19</v>
      </c>
      <c r="C3" s="34" t="s">
        <v>20</v>
      </c>
      <c r="D3" s="35" t="s">
        <v>21</v>
      </c>
      <c r="E3" s="36" t="s">
        <v>22</v>
      </c>
      <c r="F3" s="37" t="s">
        <v>58</v>
      </c>
    </row>
    <row r="4" spans="1:8" hidden="1" x14ac:dyDescent="0.25">
      <c r="A4" s="38" t="s">
        <v>46</v>
      </c>
      <c r="B4" s="39" t="s">
        <v>47</v>
      </c>
      <c r="C4" s="39" t="s">
        <v>48</v>
      </c>
      <c r="D4" s="40" t="s">
        <v>49</v>
      </c>
      <c r="E4" s="41">
        <v>299</v>
      </c>
      <c r="F4" s="42">
        <v>46064</v>
      </c>
    </row>
    <row r="5" spans="1:8" hidden="1" x14ac:dyDescent="0.25">
      <c r="A5" s="38" t="s">
        <v>53</v>
      </c>
      <c r="B5" s="39" t="s">
        <v>54</v>
      </c>
      <c r="C5" s="39" t="s">
        <v>55</v>
      </c>
      <c r="D5" s="40" t="s">
        <v>37</v>
      </c>
      <c r="E5" s="41">
        <v>350</v>
      </c>
      <c r="F5" s="42">
        <v>46086</v>
      </c>
    </row>
    <row r="6" spans="1:8" hidden="1" x14ac:dyDescent="0.25">
      <c r="A6" s="38" t="s">
        <v>34</v>
      </c>
      <c r="B6" s="39" t="s">
        <v>35</v>
      </c>
      <c r="C6" s="39" t="s">
        <v>36</v>
      </c>
      <c r="D6" s="40" t="s">
        <v>37</v>
      </c>
      <c r="E6" s="41">
        <v>399</v>
      </c>
      <c r="F6" s="42">
        <v>46032</v>
      </c>
    </row>
    <row r="7" spans="1:8" hidden="1" x14ac:dyDescent="0.25">
      <c r="A7" s="38" t="s">
        <v>30</v>
      </c>
      <c r="B7" s="39" t="s">
        <v>31</v>
      </c>
      <c r="C7" s="39" t="s">
        <v>32</v>
      </c>
      <c r="D7" s="40" t="s">
        <v>33</v>
      </c>
      <c r="E7" s="41">
        <v>450</v>
      </c>
      <c r="F7" s="42">
        <v>46025</v>
      </c>
    </row>
    <row r="8" spans="1:8" hidden="1" x14ac:dyDescent="0.25">
      <c r="A8" s="38" t="s">
        <v>38</v>
      </c>
      <c r="B8" s="39" t="s">
        <v>39</v>
      </c>
      <c r="C8" s="39" t="s">
        <v>40</v>
      </c>
      <c r="D8" s="40" t="s">
        <v>41</v>
      </c>
      <c r="E8" s="41">
        <v>550</v>
      </c>
      <c r="F8" s="42">
        <v>46040</v>
      </c>
    </row>
    <row r="9" spans="1:8" x14ac:dyDescent="0.25">
      <c r="A9" s="38" t="s">
        <v>42</v>
      </c>
      <c r="B9" s="39" t="s">
        <v>43</v>
      </c>
      <c r="C9" s="39" t="s">
        <v>44</v>
      </c>
      <c r="D9" s="40" t="s">
        <v>45</v>
      </c>
      <c r="E9" s="41">
        <v>620</v>
      </c>
      <c r="F9" s="42">
        <v>46055</v>
      </c>
    </row>
    <row r="10" spans="1:8" x14ac:dyDescent="0.25">
      <c r="A10" s="43" t="s">
        <v>50</v>
      </c>
      <c r="B10" s="44" t="s">
        <v>51</v>
      </c>
      <c r="C10" s="44" t="s">
        <v>52</v>
      </c>
      <c r="D10" s="45" t="s">
        <v>45</v>
      </c>
      <c r="E10" s="46">
        <v>780</v>
      </c>
      <c r="F10" s="47">
        <v>46073</v>
      </c>
    </row>
  </sheetData>
  <mergeCells count="1">
    <mergeCell ref="A1:F1"/>
  </mergeCell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72AC-4CC0-4057-828D-EA12DDD452F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0196-25E5-456B-9BB0-89963F92C88A}">
  <dimension ref="A1"/>
  <sheetViews>
    <sheetView workbookViewId="0"/>
  </sheetViews>
  <sheetFormatPr defaultRowHeight="15" x14ac:dyDescent="0.25"/>
  <sheetData>
    <row r="1" spans="1:1" x14ac:dyDescent="0.25">
      <c r="A1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C0528-02E0-400E-A2A8-C95D9DEBC11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C8EA7-C266-4671-A65C-8220B3654CB3}">
  <dimension ref="A1:H13"/>
  <sheetViews>
    <sheetView tabSelected="1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E15" sqref="E15"/>
    </sheetView>
  </sheetViews>
  <sheetFormatPr defaultRowHeight="15" x14ac:dyDescent="0.25"/>
  <cols>
    <col min="1" max="1" width="15.85546875" style="25" customWidth="1"/>
    <col min="2" max="2" width="19.42578125" style="25" customWidth="1"/>
    <col min="3" max="3" width="18.42578125" style="25" customWidth="1"/>
    <col min="4" max="4" width="15.7109375" style="25" customWidth="1"/>
    <col min="5" max="5" width="13.28515625" style="25" customWidth="1"/>
    <col min="6" max="6" width="13.7109375" style="25" customWidth="1"/>
    <col min="7" max="16384" width="9.140625" style="25"/>
  </cols>
  <sheetData>
    <row r="1" spans="1:8" x14ac:dyDescent="0.25">
      <c r="A1" s="32" t="s">
        <v>56</v>
      </c>
      <c r="B1" s="32"/>
      <c r="C1" s="32"/>
      <c r="D1" s="32"/>
      <c r="E1" s="32"/>
      <c r="F1" s="32"/>
    </row>
    <row r="2" spans="1:8" x14ac:dyDescent="0.25">
      <c r="A2" s="25" t="s">
        <v>24</v>
      </c>
      <c r="B2" s="25" t="s">
        <v>25</v>
      </c>
      <c r="C2" s="25" t="s">
        <v>26</v>
      </c>
      <c r="D2" s="25" t="s">
        <v>27</v>
      </c>
      <c r="E2" s="26" t="s">
        <v>28</v>
      </c>
      <c r="F2" s="27" t="s">
        <v>29</v>
      </c>
    </row>
    <row r="3" spans="1:8" x14ac:dyDescent="0.25">
      <c r="A3" s="25" t="s">
        <v>18</v>
      </c>
      <c r="B3" s="25" t="s">
        <v>19</v>
      </c>
      <c r="C3" s="25" t="s">
        <v>20</v>
      </c>
      <c r="D3" s="25" t="s">
        <v>21</v>
      </c>
      <c r="E3" s="26" t="s">
        <v>22</v>
      </c>
      <c r="F3" s="27" t="s">
        <v>58</v>
      </c>
    </row>
    <row r="4" spans="1:8" x14ac:dyDescent="0.25">
      <c r="A4" s="25" t="s">
        <v>30</v>
      </c>
      <c r="B4" s="25" t="s">
        <v>31</v>
      </c>
      <c r="C4" s="25" t="s">
        <v>32</v>
      </c>
      <c r="D4" s="25" t="s">
        <v>33</v>
      </c>
      <c r="E4" s="26">
        <v>450</v>
      </c>
      <c r="F4" s="27">
        <v>46025</v>
      </c>
    </row>
    <row r="5" spans="1:8" x14ac:dyDescent="0.25">
      <c r="A5" s="25" t="s">
        <v>34</v>
      </c>
      <c r="B5" s="25" t="s">
        <v>35</v>
      </c>
      <c r="C5" s="25" t="s">
        <v>36</v>
      </c>
      <c r="D5" s="25" t="s">
        <v>37</v>
      </c>
      <c r="E5" s="26">
        <v>399</v>
      </c>
      <c r="F5" s="27">
        <v>46032</v>
      </c>
    </row>
    <row r="6" spans="1:8" x14ac:dyDescent="0.25">
      <c r="A6" s="25" t="s">
        <v>38</v>
      </c>
      <c r="B6" s="25" t="s">
        <v>39</v>
      </c>
      <c r="C6" s="25" t="s">
        <v>40</v>
      </c>
      <c r="D6" s="25" t="s">
        <v>41</v>
      </c>
      <c r="E6" s="26">
        <v>550</v>
      </c>
      <c r="F6" s="27">
        <v>46040</v>
      </c>
    </row>
    <row r="7" spans="1:8" x14ac:dyDescent="0.25">
      <c r="A7" s="25" t="s">
        <v>42</v>
      </c>
      <c r="B7" s="25" t="s">
        <v>43</v>
      </c>
      <c r="C7" s="25" t="s">
        <v>44</v>
      </c>
      <c r="D7" s="25" t="s">
        <v>45</v>
      </c>
      <c r="E7" s="26">
        <v>620</v>
      </c>
      <c r="F7" s="27">
        <v>46055</v>
      </c>
    </row>
    <row r="8" spans="1:8" x14ac:dyDescent="0.25">
      <c r="A8" s="25" t="s">
        <v>46</v>
      </c>
      <c r="B8" s="25" t="s">
        <v>47</v>
      </c>
      <c r="C8" s="25" t="s">
        <v>48</v>
      </c>
      <c r="D8" s="25" t="s">
        <v>49</v>
      </c>
      <c r="E8" s="26">
        <v>299</v>
      </c>
      <c r="F8" s="27">
        <v>46064</v>
      </c>
    </row>
    <row r="9" spans="1:8" x14ac:dyDescent="0.25">
      <c r="A9" s="25" t="s">
        <v>50</v>
      </c>
      <c r="B9" s="25" t="s">
        <v>51</v>
      </c>
      <c r="C9" s="25" t="s">
        <v>52</v>
      </c>
      <c r="D9" s="25" t="s">
        <v>45</v>
      </c>
      <c r="E9" s="26">
        <v>780</v>
      </c>
      <c r="F9" s="27">
        <v>46073</v>
      </c>
    </row>
    <row r="10" spans="1:8" x14ac:dyDescent="0.25">
      <c r="A10" s="25" t="s">
        <v>53</v>
      </c>
      <c r="B10" s="25" t="s">
        <v>54</v>
      </c>
      <c r="C10" s="25" t="s">
        <v>55</v>
      </c>
      <c r="D10" s="25" t="s">
        <v>37</v>
      </c>
      <c r="E10" s="26">
        <v>350</v>
      </c>
      <c r="F10" s="27">
        <v>46086</v>
      </c>
    </row>
    <row r="11" spans="1:8" x14ac:dyDescent="0.25">
      <c r="A11" s="25" t="s">
        <v>59</v>
      </c>
      <c r="E11" s="26"/>
      <c r="F11" s="27"/>
    </row>
    <row r="12" spans="1:8" x14ac:dyDescent="0.25">
      <c r="A12" s="25" t="s">
        <v>23</v>
      </c>
      <c r="E12" s="26">
        <f>SUBTOTAL(101,Table35[Column5])</f>
        <v>492.57142857142856</v>
      </c>
      <c r="F12" s="25">
        <f>SUBTOTAL(103,Table35[Column6])</f>
        <v>7</v>
      </c>
    </row>
    <row r="13" spans="1:8" x14ac:dyDescent="0.25">
      <c r="D13" s="25" t="s">
        <v>80</v>
      </c>
      <c r="E13" s="26">
        <f>SUM(E4:E10)</f>
        <v>3448</v>
      </c>
    </row>
  </sheetData>
  <mergeCells count="1">
    <mergeCell ref="A1:F1"/>
  </mergeCell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491CD-0BAB-4DAE-B15A-3BBDAEABB669}">
  <dimension ref="A1:D13"/>
  <sheetViews>
    <sheetView workbookViewId="0">
      <selection activeCell="D2" sqref="D2:D13"/>
    </sheetView>
  </sheetViews>
  <sheetFormatPr defaultRowHeight="15" x14ac:dyDescent="0.25"/>
  <cols>
    <col min="1" max="1" width="23.140625" style="25" customWidth="1"/>
    <col min="2" max="2" width="9.140625" style="25"/>
    <col min="3" max="3" width="16.85546875" style="25" customWidth="1"/>
    <col min="4" max="4" width="16.42578125" style="25" customWidth="1"/>
    <col min="5" max="16384" width="9.140625" style="25"/>
  </cols>
  <sheetData>
    <row r="1" spans="1:4" x14ac:dyDescent="0.25">
      <c r="A1" s="25" t="s">
        <v>67</v>
      </c>
    </row>
    <row r="2" spans="1:4" x14ac:dyDescent="0.25">
      <c r="A2" s="25" t="s">
        <v>60</v>
      </c>
      <c r="B2" s="25">
        <v>10</v>
      </c>
      <c r="C2" s="27">
        <v>46246</v>
      </c>
      <c r="D2" s="25" t="s">
        <v>78</v>
      </c>
    </row>
    <row r="3" spans="1:4" x14ac:dyDescent="0.25">
      <c r="A3" s="25" t="s">
        <v>61</v>
      </c>
      <c r="B3" s="25">
        <v>20</v>
      </c>
      <c r="C3" s="27">
        <v>46247</v>
      </c>
      <c r="D3" s="25" t="s">
        <v>79</v>
      </c>
    </row>
    <row r="4" spans="1:4" x14ac:dyDescent="0.25">
      <c r="A4" s="25" t="s">
        <v>62</v>
      </c>
      <c r="B4" s="25">
        <v>30</v>
      </c>
      <c r="C4" s="27">
        <v>46248</v>
      </c>
      <c r="D4" s="25" t="s">
        <v>68</v>
      </c>
    </row>
    <row r="5" spans="1:4" x14ac:dyDescent="0.25">
      <c r="A5" s="25" t="s">
        <v>63</v>
      </c>
      <c r="B5" s="25">
        <v>40</v>
      </c>
      <c r="C5" s="27">
        <v>46249</v>
      </c>
      <c r="D5" s="25" t="s">
        <v>69</v>
      </c>
    </row>
    <row r="6" spans="1:4" x14ac:dyDescent="0.25">
      <c r="A6" s="25" t="s">
        <v>64</v>
      </c>
      <c r="B6" s="25">
        <v>50</v>
      </c>
      <c r="C6" s="27">
        <v>46250</v>
      </c>
      <c r="D6" s="25" t="s">
        <v>70</v>
      </c>
    </row>
    <row r="7" spans="1:4" x14ac:dyDescent="0.25">
      <c r="A7" s="25" t="s">
        <v>65</v>
      </c>
      <c r="B7" s="25">
        <v>60</v>
      </c>
      <c r="C7" s="27">
        <v>46251</v>
      </c>
      <c r="D7" s="25" t="s">
        <v>71</v>
      </c>
    </row>
    <row r="8" spans="1:4" x14ac:dyDescent="0.25">
      <c r="A8" s="25" t="s">
        <v>66</v>
      </c>
      <c r="B8" s="25">
        <v>70</v>
      </c>
      <c r="C8" s="27">
        <v>46252</v>
      </c>
      <c r="D8" s="25" t="s">
        <v>72</v>
      </c>
    </row>
    <row r="9" spans="1:4" x14ac:dyDescent="0.25">
      <c r="D9" s="25" t="s">
        <v>73</v>
      </c>
    </row>
    <row r="10" spans="1:4" x14ac:dyDescent="0.25">
      <c r="D10" s="25" t="s">
        <v>74</v>
      </c>
    </row>
    <row r="11" spans="1:4" x14ac:dyDescent="0.25">
      <c r="D11" s="25" t="s">
        <v>75</v>
      </c>
    </row>
    <row r="12" spans="1:4" x14ac:dyDescent="0.25">
      <c r="D12" s="25" t="s">
        <v>76</v>
      </c>
    </row>
    <row r="13" spans="1:4" x14ac:dyDescent="0.25">
      <c r="D13" s="25" t="s">
        <v>77</v>
      </c>
    </row>
  </sheetData>
  <phoneticPr fontId="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24F8-90E6-4A82-B848-C9AF0A3A3D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TASKS</vt:lpstr>
      <vt:lpstr>Fiction</vt:lpstr>
      <vt:lpstr>Academics</vt:lpstr>
      <vt:lpstr>Orders</vt:lpstr>
      <vt:lpstr>TASKS (2)</vt:lpstr>
      <vt:lpstr>Autofill Task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Poojary</dc:creator>
  <cp:lastModifiedBy>Ankit Poojary</cp:lastModifiedBy>
  <dcterms:created xsi:type="dcterms:W3CDTF">2026-08-12T05:05:25Z</dcterms:created>
  <dcterms:modified xsi:type="dcterms:W3CDTF">2026-08-12T07:36:34Z</dcterms:modified>
</cp:coreProperties>
</file>