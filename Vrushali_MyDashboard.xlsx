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SN22AI062VAP\StayEase-Data-Analysis\"/>
    </mc:Choice>
  </mc:AlternateContent>
  <xr:revisionPtr revIDLastSave="0" documentId="13_ncr:1_{63DBD64B-74D2-4B95-A849-AA291DC392BA}" xr6:coauthVersionLast="47" xr6:coauthVersionMax="47" xr10:uidLastSave="{00000000-0000-0000-0000-000000000000}"/>
  <bookViews>
    <workbookView xWindow="-120" yWindow="-120" windowWidth="29040" windowHeight="15720" activeTab="1" xr2:uid="{FB338318-A5D2-47EA-943F-A9B019A7FA92}"/>
  </bookViews>
  <sheets>
    <sheet name="Live_Sales_Data" sheetId="1" r:id="rId1"/>
    <sheet name="Dashboar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C10" i="2"/>
  <c r="C11" i="2"/>
  <c r="C12" i="2"/>
  <c r="C8" i="2"/>
  <c r="F8" i="2"/>
  <c r="I9" i="2"/>
  <c r="I10" i="2"/>
  <c r="I8" i="2"/>
  <c r="F10" i="2"/>
  <c r="F9" i="2"/>
  <c r="F4" i="2"/>
  <c r="D4" i="2"/>
  <c r="B4" i="2"/>
</calcChain>
</file>

<file path=xl/sharedStrings.xml><?xml version="1.0" encoding="utf-8"?>
<sst xmlns="http://schemas.openxmlformats.org/spreadsheetml/2006/main" count="43" uniqueCount="22">
  <si>
    <t>Date</t>
  </si>
  <si>
    <t>Product</t>
  </si>
  <si>
    <t>Region</t>
  </si>
  <si>
    <t>Quantity</t>
  </si>
  <si>
    <t>Sales</t>
  </si>
  <si>
    <t>Profit</t>
  </si>
  <si>
    <t>Laptop</t>
  </si>
  <si>
    <t>South</t>
  </si>
  <si>
    <t>Chair</t>
  </si>
  <si>
    <t>West</t>
  </si>
  <si>
    <t>Mouse</t>
  </si>
  <si>
    <t>Monitor</t>
  </si>
  <si>
    <t>North</t>
  </si>
  <si>
    <t>Keyboard</t>
  </si>
  <si>
    <t>Sales Performance Dashboard</t>
  </si>
  <si>
    <t>Total Sales</t>
  </si>
  <si>
    <t>Total Profit</t>
  </si>
  <si>
    <t>Total Quantit</t>
  </si>
  <si>
    <t>Month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</si>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</sst>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rgb="FF1A1A1A"/>
      <name val="Consolas"/>
      <family val="3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4B5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family val="1"/>
        <scheme val="none"/>
      </font>
      <fill>
        <patternFill patternType="solid">
          <fgColor indexed="64"/>
          <bgColor rgb="FF2E74B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35870516185477"/>
          <c:y val="0.19486111111111112"/>
          <c:w val="0.85219685039370074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Dashboard!$F$7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Dashboard!$E$8:$E$10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Dashboard!$F$8:$F$10</c:f>
              <c:numCache>
                <c:formatCode>General</c:formatCode>
                <c:ptCount val="3"/>
                <c:pt idx="0">
                  <c:v>82000</c:v>
                </c:pt>
                <c:pt idx="1">
                  <c:v>93000</c:v>
                </c:pt>
                <c:pt idx="2">
                  <c:v>49000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37-4598-BEE6-46DBFF7C5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427600"/>
        <c:axId val="538432640"/>
      </c:lineChart>
      <c:catAx>
        <c:axId val="53842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32640"/>
        <c:crosses val="autoZero"/>
        <c:auto val="1"/>
        <c:lblAlgn val="ctr"/>
        <c:lblOffset val="100"/>
        <c:noMultiLvlLbl val="0"/>
      </c:catAx>
      <c:valAx>
        <c:axId val="5384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2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Dashboard!$H$8:$H$10</c:f>
              <c:strCache>
                <c:ptCount val="3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</c:strCache>
            </c:strRef>
          </c:cat>
          <c:val>
            <c:numRef>
              <c:f>Dashboard!$I$8:$I$10</c:f>
              <c:numCache>
                <c:formatCode>General</c:formatCode>
                <c:ptCount val="3"/>
                <c:pt idx="0">
                  <c:v>157000</c:v>
                </c:pt>
                <c:pt idx="1">
                  <c:v>25000</c:v>
                </c:pt>
                <c:pt idx="2">
                  <c:v>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9-46C1-B813-89F15D6DC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079504"/>
        <c:axId val="595084184"/>
      </c:barChart>
      <c:catAx>
        <c:axId val="59507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084184"/>
        <c:crosses val="autoZero"/>
        <c:auto val="1"/>
        <c:lblAlgn val="ctr"/>
        <c:lblOffset val="100"/>
        <c:noMultiLvlLbl val="0"/>
      </c:catAx>
      <c:valAx>
        <c:axId val="59508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07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Dashboard!$B$8:$B$12</c:f>
              <c:strCache>
                <c:ptCount val="5"/>
                <c:pt idx="0">
                  <c:v>Laptop</c:v>
                </c:pt>
                <c:pt idx="1">
                  <c:v>Chair</c:v>
                </c:pt>
                <c:pt idx="2">
                  <c:v>Mouse</c:v>
                </c:pt>
                <c:pt idx="3">
                  <c:v>Monitor</c:v>
                </c:pt>
                <c:pt idx="4">
                  <c:v>Keyboard</c:v>
                </c:pt>
              </c:strCache>
            </c:strRef>
          </c:cat>
          <c:val>
            <c:numRef>
              <c:f>Dashboard!$C$8:$C$12</c:f>
              <c:numCache>
                <c:formatCode>General</c:formatCode>
                <c:ptCount val="5"/>
                <c:pt idx="0">
                  <c:v>112000</c:v>
                </c:pt>
                <c:pt idx="1">
                  <c:v>25000</c:v>
                </c:pt>
                <c:pt idx="2">
                  <c:v>20000</c:v>
                </c:pt>
                <c:pt idx="3">
                  <c:v>43000</c:v>
                </c:pt>
                <c:pt idx="4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3-44D5-A1F1-6D34B0875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256992"/>
        <c:axId val="585255552"/>
      </c:barChart>
      <c:catAx>
        <c:axId val="58525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55552"/>
        <c:crosses val="autoZero"/>
        <c:auto val="1"/>
        <c:lblAlgn val="ctr"/>
        <c:lblOffset val="100"/>
        <c:noMultiLvlLbl val="0"/>
      </c:catAx>
      <c:valAx>
        <c:axId val="58525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5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1811821</xdr:colOff>
      <xdr:row>10</xdr:row>
      <xdr:rowOff>157161</xdr:rowOff>
    </xdr:from>
    <xdr:to>
      <xdr:col>5</xdr:col>
      <xdr:colOff>1809750</xdr:colOff>
      <xdr:row>29</xdr:row>
      <xdr:rowOff>31059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79B8C-3BD4-9695-40ED-2EED8370B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23812</xdr:colOff>
      <xdr:row>11</xdr:row>
      <xdr:rowOff>169999</xdr:rowOff>
    </xdr:from>
    <xdr:to>
      <xdr:col>9</xdr:col>
      <xdr:colOff>22155</xdr:colOff>
      <xdr:row>26</xdr:row>
      <xdr:rowOff>55700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312DDB-0D58-7CE3-C906-4A709EC20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12</xdr:row>
      <xdr:rowOff>111487</xdr:rowOff>
    </xdr:from>
    <xdr:to>
      <xdr:col>3</xdr:col>
      <xdr:colOff>476250</xdr:colOff>
      <xdr:row>29</xdr:row>
      <xdr:rowOff>31060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EB272D-68A8-E2B6-1B55-EC25EC7F5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372717</xdr:colOff>
      <xdr:row>0</xdr:row>
      <xdr:rowOff>0</xdr:rowOff>
    </xdr:from>
    <xdr:to>
      <xdr:col>9</xdr:col>
      <xdr:colOff>269185</xdr:colOff>
      <xdr:row>33</xdr:row>
      <xdr:rowOff>20707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2D2B72A-1430-6F38-7F67-439C7FF4A477}"/>
            </a:ext>
          </a:extLst>
        </xdr:cNvPr>
        <xdr:cNvSpPr/>
      </xdr:nvSpPr>
      <xdr:spPr>
        <a:xfrm>
          <a:off x="372717" y="0"/>
          <a:ext cx="15374593" cy="629478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07189-5FA9-4D84-B645-DBD8D33F5DD0}" name="LiveSalesTbl" displayName="LiveSalesTbl" ref="A1:F9" totalsRowShown="0" headerRowDxfId="12" dataDxfId="13" headerRowBorderDxfId="20" tableBorderDxfId="21">
  <autoFilter ref="A1:F9" xr:uid="{0D207189-5FA9-4D84-B645-DBD8D33F5DD0}"/>
  <tableColumns count="6">
    <tableColumn id="1" xr3:uid="{F67C0D61-9DDD-4B9F-B7F2-C3D74E5A5F64}" name="Date" dataDxfId="19"/>
    <tableColumn id="2" xr3:uid="{289937A7-06E8-4888-9247-636AC7A661BA}" name="Product" dataDxfId="18"/>
    <tableColumn id="3" xr3:uid="{F789687D-6FC4-4966-AB8F-C7C643CE91F4}" name="Region" dataDxfId="17"/>
    <tableColumn id="4" xr3:uid="{A897788F-C36D-406A-AFF1-C4B82FA35FD3}" name="Quantity" dataDxfId="16"/>
    <tableColumn id="5" xr3:uid="{8490456E-FD68-42A3-881F-EAF879AC7A43}" name="Sales" dataDxfId="15"/>
    <tableColumn id="6" xr3:uid="{6573775D-FDE1-4786-ADA0-CC90188034FE}" name="Profit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E348A0-428E-4C57-A741-F730F03EC2FF}" name="Table2" displayName="Table2" ref="B7:C12" totalsRowShown="0" headerRowDxfId="8" dataDxfId="9">
  <autoFilter ref="B7:C12" xr:uid="{A3E348A0-428E-4C57-A741-F730F03EC2FF}"/>
  <tableColumns count="2">
    <tableColumn id="1" xr3:uid="{C26F8DAE-95B9-4254-A6E5-6BDDFBCA7F48}" name="Product" dataDxfId="11"/>
    <tableColumn id="2" xr3:uid="{42B2AA7D-D547-493E-96F7-47672807D957}" name="Sales" dataDxfId="10">
      <calculatedColumnFormula>SUMIF(LiveSalesTbl[Product],B8,LiveSalesTbl[Sales])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1B509D-C2E4-456B-8E5A-9F562BDCCCA2}" name="Table3" displayName="Table3" ref="E7:F10" totalsRowShown="0" headerRowDxfId="4" dataDxfId="5">
  <autoFilter ref="E7:F10" xr:uid="{E11B509D-C2E4-456B-8E5A-9F562BDCCCA2}"/>
  <tableColumns count="2">
    <tableColumn id="1" xr3:uid="{F51DAF6B-D677-46BA-B614-E56DF251A5DA}" name="Month" dataDxfId="7"/>
    <tableColumn id="2" xr3:uid="{86EA5875-B764-4E67-80F3-CFF435AF5430}" name="Sales" dataDxfId="6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A08A74-F604-49FA-B14E-7D319B776CAE}" name="Table4" displayName="Table4" ref="H7:I10" totalsRowShown="0" headerRowDxfId="0" dataDxfId="1">
  <autoFilter ref="H7:I10" xr:uid="{D8A08A74-F604-49FA-B14E-7D319B776CAE}"/>
  <tableColumns count="2">
    <tableColumn id="1" xr3:uid="{7A3D0022-C959-43B0-9830-402FAEBB0EAB}" name="Region" dataDxfId="3"/>
    <tableColumn id="2" xr3:uid="{279A2D2A-57EA-43D3-AC92-2325F054034B}" name="Sales" dataDxfId="2">
      <calculatedColumnFormula>SUMIF(LiveSalesTbl[Region],H8,LiveSalesTbl[Sales])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27E2-51AD-428C-854A-B385FCED5DBF}">
  <dimension ref="A1:F33"/>
  <sheetViews>
    <sheetView workbookViewId="0">
      <selection activeCell="B6" sqref="B6"/>
    </sheetView>
  </sheetViews>
  <sheetFormatPr defaultRowHeight="15" x14ac:dyDescent="0.25"/>
  <cols>
    <col min="1" max="22" width="18.28515625" customWidth="1"/>
  </cols>
  <sheetData>
    <row r="1" spans="1:6" s="1" customFormat="1" ht="32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s="1" customFormat="1" ht="32.25" customHeight="1" thickBot="1" x14ac:dyDescent="0.3">
      <c r="A2" s="3">
        <v>46027</v>
      </c>
      <c r="B2" s="2" t="s">
        <v>6</v>
      </c>
      <c r="C2" s="2" t="s">
        <v>7</v>
      </c>
      <c r="D2" s="2">
        <v>2</v>
      </c>
      <c r="E2" s="2">
        <v>50000</v>
      </c>
      <c r="F2" s="4">
        <v>8000</v>
      </c>
    </row>
    <row r="3" spans="1:6" s="1" customFormat="1" ht="32.25" customHeight="1" thickBot="1" x14ac:dyDescent="0.3">
      <c r="A3" s="3">
        <v>46034</v>
      </c>
      <c r="B3" s="2" t="s">
        <v>8</v>
      </c>
      <c r="C3" s="2" t="s">
        <v>9</v>
      </c>
      <c r="D3" s="2">
        <v>4</v>
      </c>
      <c r="E3" s="2">
        <v>12000</v>
      </c>
      <c r="F3" s="4">
        <v>1800</v>
      </c>
    </row>
    <row r="4" spans="1:6" s="1" customFormat="1" ht="32.25" customHeight="1" thickBot="1" x14ac:dyDescent="0.3">
      <c r="A4" s="3">
        <v>46042</v>
      </c>
      <c r="B4" s="2" t="s">
        <v>10</v>
      </c>
      <c r="C4" s="2" t="s">
        <v>7</v>
      </c>
      <c r="D4" s="2">
        <v>10</v>
      </c>
      <c r="E4" s="2">
        <v>20000</v>
      </c>
      <c r="F4" s="4">
        <v>3000</v>
      </c>
    </row>
    <row r="5" spans="1:6" s="1" customFormat="1" ht="32.25" customHeight="1" thickBot="1" x14ac:dyDescent="0.3">
      <c r="A5" s="3">
        <v>46055</v>
      </c>
      <c r="B5" s="2" t="s">
        <v>11</v>
      </c>
      <c r="C5" s="2" t="s">
        <v>12</v>
      </c>
      <c r="D5" s="2">
        <v>3</v>
      </c>
      <c r="E5" s="2">
        <v>18000</v>
      </c>
      <c r="F5" s="4">
        <v>2700</v>
      </c>
    </row>
    <row r="6" spans="1:6" s="1" customFormat="1" ht="32.25" customHeight="1" thickBot="1" x14ac:dyDescent="0.3">
      <c r="A6" s="3">
        <v>46067</v>
      </c>
      <c r="B6" s="2" t="s">
        <v>6</v>
      </c>
      <c r="C6" s="2" t="s">
        <v>7</v>
      </c>
      <c r="D6" s="2">
        <v>5</v>
      </c>
      <c r="E6" s="2">
        <v>62000</v>
      </c>
      <c r="F6" s="4">
        <v>9500</v>
      </c>
    </row>
    <row r="7" spans="1:6" s="1" customFormat="1" ht="32.25" customHeight="1" thickBot="1" x14ac:dyDescent="0.3">
      <c r="A7" s="3">
        <v>46075</v>
      </c>
      <c r="B7" s="2" t="s">
        <v>8</v>
      </c>
      <c r="C7" s="2" t="s">
        <v>9</v>
      </c>
      <c r="D7" s="2">
        <v>5</v>
      </c>
      <c r="E7" s="2">
        <v>13000</v>
      </c>
      <c r="F7" s="4">
        <v>2000</v>
      </c>
    </row>
    <row r="8" spans="1:6" s="1" customFormat="1" ht="32.25" customHeight="1" thickBot="1" x14ac:dyDescent="0.3">
      <c r="A8" s="3">
        <v>46084</v>
      </c>
      <c r="B8" s="2" t="s">
        <v>13</v>
      </c>
      <c r="C8" s="2" t="s">
        <v>12</v>
      </c>
      <c r="D8" s="2">
        <v>8</v>
      </c>
      <c r="E8" s="2">
        <v>24000</v>
      </c>
      <c r="F8" s="4">
        <v>3600</v>
      </c>
    </row>
    <row r="9" spans="1:6" s="1" customFormat="1" ht="32.25" customHeight="1" x14ac:dyDescent="0.25">
      <c r="A9" s="8">
        <v>46099</v>
      </c>
      <c r="B9" s="9" t="s">
        <v>11</v>
      </c>
      <c r="C9" s="9" t="s">
        <v>7</v>
      </c>
      <c r="D9" s="9">
        <v>4</v>
      </c>
      <c r="E9" s="9">
        <v>25000</v>
      </c>
      <c r="F9" s="10">
        <v>4000</v>
      </c>
    </row>
    <row r="10" spans="1:6" s="1" customFormat="1" ht="32.25" customHeight="1" x14ac:dyDescent="0.25"/>
    <row r="11" spans="1:6" s="1" customFormat="1" ht="32.25" customHeight="1" x14ac:dyDescent="0.25"/>
    <row r="12" spans="1:6" s="1" customFormat="1" ht="32.25" customHeight="1" x14ac:dyDescent="0.25"/>
    <row r="13" spans="1:6" s="1" customFormat="1" ht="32.25" customHeight="1" x14ac:dyDescent="0.25"/>
    <row r="14" spans="1:6" s="1" customFormat="1" ht="32.25" customHeight="1" x14ac:dyDescent="0.25"/>
    <row r="15" spans="1:6" s="1" customFormat="1" ht="32.25" customHeight="1" x14ac:dyDescent="0.25"/>
    <row r="16" spans="1:6" s="1" customFormat="1" ht="32.25" customHeight="1" x14ac:dyDescent="0.25"/>
    <row r="17" s="1" customFormat="1" ht="32.25" customHeight="1" x14ac:dyDescent="0.25"/>
    <row r="18" s="1" customFormat="1" ht="32.25" customHeight="1" x14ac:dyDescent="0.25"/>
    <row r="19" s="1" customFormat="1" ht="32.25" customHeight="1" x14ac:dyDescent="0.25"/>
    <row r="20" s="1" customFormat="1" ht="32.25" customHeight="1" x14ac:dyDescent="0.25"/>
    <row r="21" s="1" customFormat="1" ht="32.25" customHeight="1" x14ac:dyDescent="0.25"/>
    <row r="22" s="1" customFormat="1" ht="32.25" customHeight="1" x14ac:dyDescent="0.25"/>
    <row r="23" s="1" customFormat="1" ht="32.25" customHeight="1" x14ac:dyDescent="0.25"/>
    <row r="24" s="1" customFormat="1" ht="32.25" customHeight="1" x14ac:dyDescent="0.25"/>
    <row r="25" s="1" customFormat="1" ht="32.25" customHeight="1" x14ac:dyDescent="0.25"/>
    <row r="26" s="1" customFormat="1" ht="32.25" customHeight="1" x14ac:dyDescent="0.25"/>
    <row r="27" s="1" customFormat="1" ht="32.25" customHeight="1" x14ac:dyDescent="0.25"/>
    <row r="28" s="1" customFormat="1" ht="32.25" customHeight="1" x14ac:dyDescent="0.25"/>
    <row r="29" s="1" customFormat="1" ht="32.25" customHeight="1" x14ac:dyDescent="0.25"/>
    <row r="30" s="1" customFormat="1" ht="32.25" customHeight="1" x14ac:dyDescent="0.25"/>
    <row r="31" s="1" customFormat="1" ht="32.25" customHeight="1" x14ac:dyDescent="0.25"/>
    <row r="32" s="1" customFormat="1" ht="32.25" customHeight="1" x14ac:dyDescent="0.25"/>
    <row r="33" s="1" customFormat="1" ht="32.25" customHeigh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249F-AC65-49E3-A4E1-D1E0DE93AE9C}">
  <dimension ref="B1:I12"/>
  <sheetViews>
    <sheetView showGridLines="0" tabSelected="1" zoomScale="92" workbookViewId="0">
      <selection activeCell="F36" sqref="F36"/>
    </sheetView>
  </sheetViews>
  <sheetFormatPr defaultRowHeight="15" x14ac:dyDescent="0.25"/>
  <cols>
    <col min="1" max="1" width="9.140625" style="12"/>
    <col min="2" max="2" width="26.42578125" style="12" customWidth="1"/>
    <col min="3" max="3" width="29.42578125" style="12" customWidth="1"/>
    <col min="4" max="4" width="29.28515625" style="12" customWidth="1"/>
    <col min="5" max="5" width="34.85546875" style="12" customWidth="1"/>
    <col min="6" max="6" width="27.140625" style="12" customWidth="1"/>
    <col min="7" max="7" width="18.140625" style="12" customWidth="1"/>
    <col min="8" max="8" width="28.42578125" style="12" customWidth="1"/>
    <col min="9" max="9" width="29.140625" style="12" customWidth="1"/>
    <col min="10" max="10" width="18.42578125" style="12" customWidth="1"/>
    <col min="11" max="11" width="34.85546875" style="12" customWidth="1"/>
    <col min="12" max="16384" width="9.140625" style="12"/>
  </cols>
  <sheetData>
    <row r="1" spans="2:9" ht="20.25" x14ac:dyDescent="0.25">
      <c r="B1" s="14" t="s">
        <v>14</v>
      </c>
      <c r="C1" s="14"/>
      <c r="D1" s="14"/>
      <c r="E1" s="14"/>
      <c r="F1" s="14"/>
      <c r="G1" s="14"/>
    </row>
    <row r="2" spans="2:9" ht="15.75" thickBot="1" x14ac:dyDescent="0.3"/>
    <row r="3" spans="2:9" ht="15.75" x14ac:dyDescent="0.25">
      <c r="B3" s="16" t="s">
        <v>15</v>
      </c>
      <c r="C3" s="13"/>
      <c r="D3" s="16" t="s">
        <v>16</v>
      </c>
      <c r="F3" s="16" t="s">
        <v>17</v>
      </c>
    </row>
    <row r="4" spans="2:9" ht="16.5" thickBot="1" x14ac:dyDescent="0.3">
      <c r="B4" s="17">
        <f>SUM(LiveSalesTbl[Sales])</f>
        <v>224000</v>
      </c>
      <c r="C4" s="13"/>
      <c r="D4" s="17">
        <f>SUM(LiveSalesTbl[Profit])</f>
        <v>34600</v>
      </c>
      <c r="F4" s="17">
        <f>SUM(LiveSalesTbl[Quantity])</f>
        <v>41</v>
      </c>
    </row>
    <row r="7" spans="2:9" ht="15.75" x14ac:dyDescent="0.25">
      <c r="B7" s="15" t="s">
        <v>1</v>
      </c>
      <c r="C7" s="15" t="s">
        <v>4</v>
      </c>
      <c r="E7" s="15" t="s">
        <v>18</v>
      </c>
      <c r="F7" s="15" t="s">
        <v>4</v>
      </c>
      <c r="H7" s="15" t="s">
        <v>2</v>
      </c>
      <c r="I7" s="15" t="s">
        <v>4</v>
      </c>
    </row>
    <row r="8" spans="2:9" x14ac:dyDescent="0.2">
      <c r="B8" s="11" t="s">
        <v>6</v>
      </c>
      <c r="C8" s="12">
        <f>SUMIF(LiveSalesTbl[Product],B8,LiveSalesTbl[Sales])</f>
        <v>112000</v>
      </c>
      <c r="E8" s="12" t="s">
        <v>19</v>
      </c>
      <c r="F8" s="12">
        <f>SUMPRODUCT((MONTH(LiveSalesTbl[Date])=1)*LiveSalesTbl[Sales])</f>
        <v>82000</v>
      </c>
      <c r="H8" s="12" t="s">
        <v>7</v>
      </c>
      <c r="I8" s="12">
        <f>SUMIF(LiveSalesTbl[Region],H8,LiveSalesTbl[Sales])</f>
        <v>157000</v>
      </c>
    </row>
    <row r="9" spans="2:9" x14ac:dyDescent="0.25">
      <c r="B9" s="12" t="s">
        <v>8</v>
      </c>
      <c r="C9" s="12">
        <f>SUMIF(LiveSalesTbl[Product],B9,LiveSalesTbl[Sales])</f>
        <v>25000</v>
      </c>
      <c r="E9" s="12" t="s">
        <v>20</v>
      </c>
      <c r="F9" s="12">
        <f>SUMPRODUCT((MONTH(LiveSalesTbl[Date])=2)*LiveSalesTbl[Sales])</f>
        <v>93000</v>
      </c>
      <c r="H9" s="12" t="s">
        <v>9</v>
      </c>
      <c r="I9" s="12">
        <f>SUMIF(LiveSalesTbl[Region],H9,LiveSalesTbl[Sales])</f>
        <v>25000</v>
      </c>
    </row>
    <row r="10" spans="2:9" x14ac:dyDescent="0.25">
      <c r="B10" s="12" t="s">
        <v>10</v>
      </c>
      <c r="C10" s="12">
        <f>SUMIF(LiveSalesTbl[Product],B10,LiveSalesTbl[Sales])</f>
        <v>20000</v>
      </c>
      <c r="E10" s="12" t="s">
        <v>21</v>
      </c>
      <c r="F10" s="12">
        <f>SUMPRODUCT((MONTH(LiveSalesTbl[Date])=3)*LiveSalesTbl[Sales])</f>
        <v>49000</v>
      </c>
      <c r="H10" s="12" t="s">
        <v>12</v>
      </c>
      <c r="I10" s="12">
        <f>SUMIF(LiveSalesTbl[Region],H10,LiveSalesTbl[Sales])</f>
        <v>42000</v>
      </c>
    </row>
    <row r="11" spans="2:9" x14ac:dyDescent="0.25">
      <c r="B11" s="12" t="s">
        <v>11</v>
      </c>
      <c r="C11" s="12">
        <f>SUMIF(LiveSalesTbl[Product],B11,LiveSalesTbl[Sales])</f>
        <v>43000</v>
      </c>
    </row>
    <row r="12" spans="2:9" x14ac:dyDescent="0.25">
      <c r="B12" s="12" t="s">
        <v>13</v>
      </c>
      <c r="C12" s="12">
        <f>SUMIF(LiveSalesTbl[Product],B12,LiveSalesTbl[Sales])</f>
        <v>24000</v>
      </c>
    </row>
  </sheetData>
  <mergeCells count="1">
    <mergeCell ref="B1:G1"/>
  </mergeCells>
  <phoneticPr fontId="8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Live_Sales_Data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Poojary</dc:creator>
  <cp:lastModifiedBy>Ankit Poojary</cp:lastModifiedBy>
  <dcterms:created xsi:type="dcterms:W3CDTF">2026-08-20T04:21:31Z</dcterms:created>
  <dcterms:modified xsi:type="dcterms:W3CDTF">2026-08-20T05:57:13Z</dcterms:modified>
</cp:coreProperties>
</file>