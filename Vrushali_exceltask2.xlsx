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SN22AI062VAP\StayEase-Data-Analysis\"/>
    </mc:Choice>
  </mc:AlternateContent>
  <xr:revisionPtr revIDLastSave="0" documentId="13_ncr:1_{AB4B12DB-83B5-48CA-A445-D97C84DE958C}" xr6:coauthVersionLast="47" xr6:coauthVersionMax="47" xr10:uidLastSave="{00000000-0000-0000-0000-000000000000}"/>
  <bookViews>
    <workbookView xWindow="-120" yWindow="-120" windowWidth="29040" windowHeight="15720" xr2:uid="{DCE82095-7336-4C79-8783-EB95B0E7FE10}"/>
  </bookViews>
  <sheets>
    <sheet name="FlashFill" sheetId="3" r:id="rId1"/>
    <sheet name="staff" sheetId="1" r:id="rId2"/>
    <sheet name="Cleaning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10" i="1"/>
  <c r="F3" i="1"/>
  <c r="F8" i="1"/>
  <c r="F4" i="1"/>
  <c r="F7" i="1"/>
  <c r="F9" i="1"/>
  <c r="D13" i="1"/>
  <c r="D14" i="1"/>
  <c r="D15" i="1"/>
  <c r="L3" i="1"/>
  <c r="K3" i="1"/>
  <c r="J3" i="1"/>
  <c r="I3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ankit</author>
  </authors>
  <commentList>
    <comment ref="F1" authorId="0" shapeId="0" xr:uid="{CCD4299A-8E21-443A-8CD9-D00E0D7B9D32}">
      <text>
        <r>
          <rPr>
            <b/>
            <sz val="9"/>
            <color indexed="81"/>
            <rFont val="Tahoma"/>
            <family val="2"/>
          </rPr>
          <t>ankit:</t>
        </r>
        <r>
          <rPr>
            <sz val="9"/>
            <color indexed="81"/>
            <rFont val="Tahoma"/>
            <family val="2"/>
          </rPr>
          <t xml:space="preserve">
duplicates are present 
casesensitive
missing values
unordered
</t>
        </r>
      </text>
    </comment>
  </commentList>
</comments>
</file>

<file path=xl/sharedStrings.xml><?xml version="1.0" encoding="utf-8"?>
<sst xmlns="http://schemas.openxmlformats.org/spreadsheetml/2006/main" count="81" uniqueCount="62">
  <si>
    <t>Employee</t>
  </si>
  <si>
    <t>Department</t>
  </si>
  <si>
    <t>Salary</t>
  </si>
  <si>
    <t>Experience</t>
  </si>
  <si>
    <t>Status</t>
  </si>
  <si>
    <t>Rahul</t>
  </si>
  <si>
    <t>Sales</t>
  </si>
  <si>
    <t>Active</t>
  </si>
  <si>
    <t>Priya</t>
  </si>
  <si>
    <t>HR</t>
  </si>
  <si>
    <t>Arjun</t>
  </si>
  <si>
    <t>IT</t>
  </si>
  <si>
    <t>Sneha</t>
  </si>
  <si>
    <t>Kiran</t>
  </si>
  <si>
    <t>Anjali</t>
  </si>
  <si>
    <t>Inactive</t>
  </si>
  <si>
    <t>Rohit</t>
  </si>
  <si>
    <t>Meena</t>
  </si>
  <si>
    <t xml:space="preserve">Total Salary </t>
  </si>
  <si>
    <t>Average</t>
  </si>
  <si>
    <t>MAX</t>
  </si>
  <si>
    <t>MIN</t>
  </si>
  <si>
    <t>COUNT</t>
  </si>
  <si>
    <t>TASK 1</t>
  </si>
  <si>
    <t>TASK2</t>
  </si>
  <si>
    <t>PRODUCT</t>
  </si>
  <si>
    <t>PRICE</t>
  </si>
  <si>
    <t>GST</t>
  </si>
  <si>
    <t>PEN</t>
  </si>
  <si>
    <t>ERASER</t>
  </si>
  <si>
    <t>GST Amount</t>
  </si>
  <si>
    <t>PENCIL</t>
  </si>
  <si>
    <t>Eligibility</t>
  </si>
  <si>
    <t>Task5</t>
  </si>
  <si>
    <t>Task4</t>
  </si>
  <si>
    <t>Task3</t>
  </si>
  <si>
    <t>Task6</t>
  </si>
  <si>
    <t>Name</t>
  </si>
  <si>
    <t>City</t>
  </si>
  <si>
    <t>Age</t>
  </si>
  <si>
    <t>Kavya</t>
  </si>
  <si>
    <t>Hubballi</t>
  </si>
  <si>
    <t>kavya</t>
  </si>
  <si>
    <t>Suresh</t>
  </si>
  <si>
    <t>Deepa</t>
  </si>
  <si>
    <t>Belgaum</t>
  </si>
  <si>
    <t>Manoj</t>
  </si>
  <si>
    <t>Comment</t>
  </si>
  <si>
    <t>Kavya  Rao</t>
  </si>
  <si>
    <t>Suresh Naik</t>
  </si>
  <si>
    <t>Deepa Hegde</t>
  </si>
  <si>
    <t>Manoj pai</t>
  </si>
  <si>
    <t>First Name</t>
  </si>
  <si>
    <t>Email</t>
  </si>
  <si>
    <t>Username</t>
  </si>
  <si>
    <t>kavya@gmail.com</t>
  </si>
  <si>
    <t>suresh@gmail.com</t>
  </si>
  <si>
    <t>deepa@gmail.com</t>
  </si>
  <si>
    <t>manoj@gmail.com</t>
  </si>
  <si>
    <t>suresh</t>
  </si>
  <si>
    <t>deepa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</si>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</sst>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0" fillId="3" borderId="0" xfId="0" applyFill="1" applyAlignment="1">
      <alignment horizontal="left"/>
    </xf>
    <xf numFmtId="9" fontId="0" fillId="0" borderId="0" xfId="0" applyNumberFormat="1" applyAlignment="1">
      <alignment horizontal="left"/>
    </xf>
    <xf numFmtId="0" fontId="1" fillId="4" borderId="0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3" borderId="0" xfId="0" applyFill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family val="1"/>
        <scheme val="none"/>
      </font>
      <fill>
        <patternFill patternType="solid">
          <fgColor indexed="64"/>
          <bgColor rgb="FF2E74B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6</xdr:col>
      <xdr:colOff>1173</xdr:colOff>
      <xdr:row>27</xdr:row>
      <xdr:rowOff>314914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F9B9-83D2-4659-B86A-74C09823C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00900"/>
          <a:ext cx="8402223" cy="4220164"/>
        </a:xfrm>
        <a:prstGeom prst="rect">
          <a:avLst/>
        </a:prstGeom>
        <a:solidFill>
          <a:srgbClr val="FFFF00"/>
        </a:solidFill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58331</xdr:colOff>
      <xdr:row>34</xdr:row>
      <xdr:rowOff>371745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6C65C-D91C-B5AB-1778-0830E40E3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44100"/>
          <a:ext cx="8459381" cy="1933845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238125</xdr:colOff>
      <xdr:row>30</xdr:row>
      <xdr:rowOff>9525</xdr:rowOff>
    </xdr:from>
    <xdr:to>
      <xdr:col>13</xdr:col>
      <xdr:colOff>39273</xdr:colOff>
      <xdr:row>33</xdr:row>
      <xdr:rowOff>238320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FC714E-0C2F-7EC2-F6CF-E012E65DF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39175" y="9486900"/>
          <a:ext cx="8402223" cy="14003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9E0D21-61CA-415E-9FCF-3986EEC15088}" name="Table2" displayName="Table2" ref="A2:F10" totalsRowShown="0" headerRowDxfId="0" dataDxfId="1" headerRowBorderDxfId="8" tableBorderDxfId="9">
  <autoFilter ref="A2:F10" xr:uid="{F39E0D21-61CA-415E-9FCF-3986EEC15088}"/>
  <sortState xmlns:xlrd2="http://schemas.microsoft.com/office/spreadsheetml/2017/richdata2" ref="A3:F10">
    <sortCondition descending="1" ref="C2:C10"/>
  </sortState>
  <tableColumns count="6">
    <tableColumn id="1" xr3:uid="{B952EEBA-522B-4C54-AF25-91667DE59798}" name="Employee" dataDxfId="7"/>
    <tableColumn id="2" xr3:uid="{41F746C9-D56F-483F-AC17-CF6EEBABFBA3}" name="Department" dataDxfId="6"/>
    <tableColumn id="3" xr3:uid="{F0540FD5-D070-471F-8B82-BD3D0A9C0797}" name="Salary" dataDxfId="5"/>
    <tableColumn id="4" xr3:uid="{418992EC-3B74-442D-A8A4-F44FB1D897BB}" name="Experience" dataDxfId="4"/>
    <tableColumn id="5" xr3:uid="{7E9D5F9E-BE7C-43B3-BFB8-6B687DE855BE}" name="Status" dataDxfId="3"/>
    <tableColumn id="6" xr3:uid="{BCB917DA-605C-4215-BAA2-E3EFA9A01C91}" name="Eligibility" dataDxfId="2">
      <calculatedColumnFormula>IF(D:D&gt;=2,"Eligible","Not eligible")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pa@gmail.com" TargetMode="External"/><Relationship Id="rId2" Type="http://schemas.openxmlformats.org/officeDocument/2006/relationships/hyperlink" Target="mailto:suresh@gmail.com" TargetMode="External"/><Relationship Id="rId1" Type="http://schemas.openxmlformats.org/officeDocument/2006/relationships/hyperlink" Target="mailto:kavya@gmail.com" TargetMode="External"/><Relationship Id="rId4" Type="http://schemas.openxmlformats.org/officeDocument/2006/relationships/hyperlink" Target="mailto:manoj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030F-03BB-43F1-A6A3-E6E472622D40}">
  <dimension ref="A1:D6"/>
  <sheetViews>
    <sheetView tabSelected="1" workbookViewId="0">
      <selection activeCell="D2" sqref="D2"/>
    </sheetView>
  </sheetViews>
  <sheetFormatPr defaultRowHeight="15" x14ac:dyDescent="0.25"/>
  <cols>
    <col min="1" max="5" width="21.28515625" style="13" customWidth="1"/>
    <col min="6" max="16384" width="9.140625" style="13"/>
  </cols>
  <sheetData>
    <row r="1" spans="1:4" ht="33" customHeight="1" x14ac:dyDescent="0.25">
      <c r="A1" s="14" t="s">
        <v>37</v>
      </c>
      <c r="B1" s="14" t="s">
        <v>52</v>
      </c>
      <c r="C1" s="14" t="s">
        <v>53</v>
      </c>
      <c r="D1" s="14" t="s">
        <v>54</v>
      </c>
    </row>
    <row r="2" spans="1:4" ht="33" customHeight="1" x14ac:dyDescent="0.25">
      <c r="A2" s="13" t="s">
        <v>48</v>
      </c>
      <c r="B2" s="13" t="s">
        <v>40</v>
      </c>
      <c r="C2" s="15" t="s">
        <v>55</v>
      </c>
      <c r="D2" s="13" t="s">
        <v>42</v>
      </c>
    </row>
    <row r="3" spans="1:4" ht="33" customHeight="1" x14ac:dyDescent="0.25">
      <c r="A3" s="13" t="s">
        <v>49</v>
      </c>
      <c r="B3" s="13" t="s">
        <v>43</v>
      </c>
      <c r="C3" s="15" t="s">
        <v>56</v>
      </c>
      <c r="D3" s="13" t="s">
        <v>59</v>
      </c>
    </row>
    <row r="4" spans="1:4" ht="33" customHeight="1" x14ac:dyDescent="0.25">
      <c r="A4" s="13" t="s">
        <v>50</v>
      </c>
      <c r="B4" s="13" t="s">
        <v>44</v>
      </c>
      <c r="C4" s="15" t="s">
        <v>57</v>
      </c>
      <c r="D4" s="13" t="s">
        <v>60</v>
      </c>
    </row>
    <row r="5" spans="1:4" ht="33" customHeight="1" x14ac:dyDescent="0.25">
      <c r="A5" s="13" t="s">
        <v>51</v>
      </c>
      <c r="B5" s="13" t="s">
        <v>46</v>
      </c>
      <c r="C5" s="15" t="s">
        <v>58</v>
      </c>
      <c r="D5" s="13" t="s">
        <v>61</v>
      </c>
    </row>
    <row r="6" spans="1:4" ht="33" customHeight="1" x14ac:dyDescent="0.25"/>
  </sheetData>
  <hyperlinks>
    <hyperlink ref="C2" r:id="rId1" xr:uid="{1885B80F-388F-48AA-ADCE-673F4214724E}"/>
    <hyperlink ref="C3" r:id="rId2" xr:uid="{7DDD42ED-8702-4AB8-8150-4984BE74F7D1}"/>
    <hyperlink ref="C4" r:id="rId3" xr:uid="{4C1AD9A3-9953-4D3B-9BD5-0C2BF12EAD1F}"/>
    <hyperlink ref="C5" r:id="rId4" xr:uid="{3E9F77D2-E105-42A1-B1D7-1DAF835FE4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C1B6-6AC9-4BCB-BB55-8AE373193614}">
  <dimension ref="A1:L41"/>
  <sheetViews>
    <sheetView topLeftCell="A31" workbookViewId="0">
      <selection activeCell="G37" sqref="G37"/>
    </sheetView>
  </sheetViews>
  <sheetFormatPr defaultRowHeight="15" x14ac:dyDescent="0.25"/>
  <cols>
    <col min="1" max="11" width="21" style="1" customWidth="1"/>
    <col min="12" max="12" width="14.85546875" style="1" customWidth="1"/>
    <col min="13" max="16384" width="9.140625" style="1"/>
  </cols>
  <sheetData>
    <row r="1" spans="1:12" x14ac:dyDescent="0.25">
      <c r="A1" s="3" t="s">
        <v>23</v>
      </c>
      <c r="F1" s="3" t="s">
        <v>34</v>
      </c>
    </row>
    <row r="2" spans="1:12" ht="36.75" customHeight="1" thickBo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32</v>
      </c>
      <c r="G2" s="5"/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ht="36.75" customHeight="1" thickBot="1" x14ac:dyDescent="0.3">
      <c r="A3" s="2" t="s">
        <v>13</v>
      </c>
      <c r="B3" s="2" t="s">
        <v>11</v>
      </c>
      <c r="C3" s="2">
        <v>60000</v>
      </c>
      <c r="D3" s="2">
        <v>6</v>
      </c>
      <c r="E3" s="2" t="s">
        <v>7</v>
      </c>
      <c r="F3" s="1" t="str">
        <f>IF(D:D&gt;=2,"Eligible","Not eligible")</f>
        <v>Eligible</v>
      </c>
      <c r="H3" s="1">
        <f>SUM(C:C)</f>
        <v>359000.18</v>
      </c>
      <c r="I3" s="1">
        <f>AVERAGE(C:C)</f>
        <v>39888.908888888887</v>
      </c>
      <c r="J3" s="1">
        <f>MAX(C:C)</f>
        <v>60000</v>
      </c>
      <c r="K3" s="1">
        <f>MIN(C:C)</f>
        <v>0.18</v>
      </c>
      <c r="L3" s="1">
        <f>COUNT(C:C)</f>
        <v>9</v>
      </c>
    </row>
    <row r="4" spans="1:12" ht="36.75" customHeight="1" thickBot="1" x14ac:dyDescent="0.3">
      <c r="A4" s="2" t="s">
        <v>10</v>
      </c>
      <c r="B4" s="2" t="s">
        <v>11</v>
      </c>
      <c r="C4" s="2">
        <v>55000</v>
      </c>
      <c r="D4" s="2">
        <v>5</v>
      </c>
      <c r="E4" s="2" t="s">
        <v>7</v>
      </c>
      <c r="F4" s="1" t="str">
        <f>IF(D:D&gt;=2,"Eligible","Not eligible")</f>
        <v>Eligible</v>
      </c>
    </row>
    <row r="5" spans="1:12" ht="36.75" customHeight="1" thickBot="1" x14ac:dyDescent="0.3">
      <c r="A5" s="2" t="s">
        <v>17</v>
      </c>
      <c r="B5" s="2" t="s">
        <v>11</v>
      </c>
      <c r="C5" s="2">
        <v>52000</v>
      </c>
      <c r="D5" s="2">
        <v>5</v>
      </c>
      <c r="E5" s="2" t="s">
        <v>7</v>
      </c>
      <c r="F5" s="1" t="str">
        <f>IF(D:D&gt;=2,"Eligible","Not eligible")</f>
        <v>Eligible</v>
      </c>
    </row>
    <row r="6" spans="1:12" ht="36.75" customHeight="1" thickBot="1" x14ac:dyDescent="0.3">
      <c r="A6" s="2" t="s">
        <v>16</v>
      </c>
      <c r="B6" s="2" t="s">
        <v>6</v>
      </c>
      <c r="C6" s="2">
        <v>45000</v>
      </c>
      <c r="D6" s="2">
        <v>4</v>
      </c>
      <c r="E6" s="2" t="s">
        <v>7</v>
      </c>
      <c r="F6" s="1" t="str">
        <f>IF(D:D&gt;=2,"Eligible","Not eligible")</f>
        <v>Eligible</v>
      </c>
    </row>
    <row r="7" spans="1:12" ht="36.75" customHeight="1" thickBot="1" x14ac:dyDescent="0.3">
      <c r="A7" s="2" t="s">
        <v>8</v>
      </c>
      <c r="B7" s="2" t="s">
        <v>9</v>
      </c>
      <c r="C7" s="2">
        <v>42000</v>
      </c>
      <c r="D7" s="2">
        <v>3</v>
      </c>
      <c r="E7" s="2" t="s">
        <v>7</v>
      </c>
      <c r="F7" s="1" t="str">
        <f>IF(D:D&gt;=2,"Eligible","Not eligible")</f>
        <v>Eligible</v>
      </c>
    </row>
    <row r="8" spans="1:12" ht="36.75" customHeight="1" thickBot="1" x14ac:dyDescent="0.3">
      <c r="A8" s="2" t="s">
        <v>12</v>
      </c>
      <c r="B8" s="2" t="s">
        <v>6</v>
      </c>
      <c r="C8" s="2">
        <v>38000</v>
      </c>
      <c r="D8" s="2">
        <v>2</v>
      </c>
      <c r="E8" s="2" t="s">
        <v>7</v>
      </c>
      <c r="F8" s="1" t="str">
        <f>IF(D:D&gt;=2,"Eligible","Not eligible")</f>
        <v>Eligible</v>
      </c>
    </row>
    <row r="9" spans="1:12" ht="36.75" customHeight="1" thickBot="1" x14ac:dyDescent="0.3">
      <c r="A9" s="2" t="s">
        <v>5</v>
      </c>
      <c r="B9" s="2" t="s">
        <v>6</v>
      </c>
      <c r="C9" s="2">
        <v>35000</v>
      </c>
      <c r="D9" s="2">
        <v>2</v>
      </c>
      <c r="E9" s="2" t="s">
        <v>7</v>
      </c>
      <c r="F9" s="1" t="str">
        <f>IF(D:D&gt;=2,"Eligible","Not eligible")</f>
        <v>Eligible</v>
      </c>
    </row>
    <row r="10" spans="1:12" ht="36.75" customHeight="1" thickBot="1" x14ac:dyDescent="0.3">
      <c r="A10" s="2" t="s">
        <v>14</v>
      </c>
      <c r="B10" s="2" t="s">
        <v>9</v>
      </c>
      <c r="C10" s="2">
        <v>32000</v>
      </c>
      <c r="D10" s="2">
        <v>1</v>
      </c>
      <c r="E10" s="2" t="s">
        <v>15</v>
      </c>
      <c r="F10" s="1" t="str">
        <f>IF(D:D&gt;=2,"Eligible","Not eligible")</f>
        <v>Not eligible</v>
      </c>
    </row>
    <row r="11" spans="1:12" ht="36.75" customHeight="1" x14ac:dyDescent="0.25">
      <c r="A11" s="3" t="s">
        <v>24</v>
      </c>
      <c r="D11" s="3" t="s">
        <v>35</v>
      </c>
    </row>
    <row r="12" spans="1:12" ht="30.75" customHeight="1" x14ac:dyDescent="0.25">
      <c r="A12" s="1" t="s">
        <v>25</v>
      </c>
      <c r="B12" s="1" t="s">
        <v>26</v>
      </c>
      <c r="C12" s="1" t="s">
        <v>27</v>
      </c>
      <c r="D12" s="1" t="s">
        <v>30</v>
      </c>
    </row>
    <row r="13" spans="1:12" ht="30.75" customHeight="1" x14ac:dyDescent="0.25">
      <c r="A13" s="1" t="s">
        <v>28</v>
      </c>
      <c r="B13" s="1">
        <v>5</v>
      </c>
      <c r="C13" s="4">
        <v>0.18</v>
      </c>
      <c r="D13" s="1">
        <f>B13*$C$13</f>
        <v>0.89999999999999991</v>
      </c>
    </row>
    <row r="14" spans="1:12" ht="30.75" customHeight="1" x14ac:dyDescent="0.25">
      <c r="A14" s="1" t="s">
        <v>31</v>
      </c>
      <c r="B14" s="1">
        <v>10</v>
      </c>
      <c r="D14" s="1">
        <f t="shared" ref="D14:D15" si="0">B14*$C$13</f>
        <v>1.7999999999999998</v>
      </c>
    </row>
    <row r="15" spans="1:12" ht="30.75" customHeight="1" x14ac:dyDescent="0.25">
      <c r="A15" s="1" t="s">
        <v>29</v>
      </c>
      <c r="B15" s="1">
        <v>2</v>
      </c>
      <c r="D15" s="1">
        <f t="shared" si="0"/>
        <v>0.36</v>
      </c>
    </row>
    <row r="16" spans="1:12" ht="30.75" customHeight="1" x14ac:dyDescent="0.25"/>
    <row r="17" spans="1:1" ht="30.75" customHeight="1" x14ac:dyDescent="0.25">
      <c r="A17" s="3" t="s">
        <v>33</v>
      </c>
    </row>
    <row r="18" spans="1:1" ht="30.75" customHeight="1" x14ac:dyDescent="0.25"/>
    <row r="19" spans="1:1" ht="30.75" customHeight="1" x14ac:dyDescent="0.25"/>
    <row r="20" spans="1:1" ht="30.75" customHeight="1" x14ac:dyDescent="0.25"/>
    <row r="21" spans="1:1" ht="30.75" customHeight="1" x14ac:dyDescent="0.25"/>
    <row r="22" spans="1:1" ht="30.75" customHeight="1" x14ac:dyDescent="0.25"/>
    <row r="23" spans="1:1" ht="30.75" customHeight="1" x14ac:dyDescent="0.25"/>
    <row r="24" spans="1:1" ht="30.75" customHeight="1" x14ac:dyDescent="0.25"/>
    <row r="25" spans="1:1" ht="30.75" customHeight="1" x14ac:dyDescent="0.25"/>
    <row r="26" spans="1:1" ht="30.75" customHeight="1" x14ac:dyDescent="0.25"/>
    <row r="27" spans="1:1" ht="30.75" customHeight="1" x14ac:dyDescent="0.25"/>
    <row r="28" spans="1:1" ht="30.75" customHeight="1" x14ac:dyDescent="0.25"/>
    <row r="29" spans="1:1" ht="30.75" customHeight="1" x14ac:dyDescent="0.25"/>
    <row r="30" spans="1:1" ht="30.75" customHeight="1" x14ac:dyDescent="0.25">
      <c r="A30" s="3" t="s">
        <v>36</v>
      </c>
    </row>
    <row r="31" spans="1:1" ht="30.75" customHeight="1" x14ac:dyDescent="0.25"/>
    <row r="32" spans="1:1" ht="30.75" customHeight="1" x14ac:dyDescent="0.25"/>
    <row r="33" ht="30.75" customHeight="1" x14ac:dyDescent="0.25"/>
    <row r="34" ht="30.75" customHeight="1" x14ac:dyDescent="0.25"/>
    <row r="35" ht="30.75" customHeight="1" x14ac:dyDescent="0.25"/>
    <row r="36" ht="30.75" customHeight="1" x14ac:dyDescent="0.25"/>
    <row r="37" ht="30.75" customHeight="1" x14ac:dyDescent="0.25"/>
    <row r="38" ht="30.75" customHeight="1" x14ac:dyDescent="0.25"/>
    <row r="39" ht="30.75" customHeight="1" x14ac:dyDescent="0.25"/>
    <row r="40" ht="30.75" customHeight="1" x14ac:dyDescent="0.25"/>
    <row r="41" ht="30.75" customHeight="1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BB56-DBFA-4B70-AE50-2FFF3FDA6551}">
  <dimension ref="A1:F6"/>
  <sheetViews>
    <sheetView workbookViewId="0">
      <selection activeCell="C4" sqref="C4"/>
    </sheetView>
  </sheetViews>
  <sheetFormatPr defaultRowHeight="15" x14ac:dyDescent="0.25"/>
  <cols>
    <col min="1" max="5" width="21.28515625" customWidth="1"/>
  </cols>
  <sheetData>
    <row r="1" spans="1:6" ht="33" customHeight="1" thickBot="1" x14ac:dyDescent="0.3">
      <c r="A1" s="7" t="s">
        <v>37</v>
      </c>
      <c r="B1" s="8" t="s">
        <v>38</v>
      </c>
      <c r="C1" s="8" t="s">
        <v>39</v>
      </c>
      <c r="D1" s="8" t="s">
        <v>2</v>
      </c>
      <c r="F1" s="9" t="s">
        <v>47</v>
      </c>
    </row>
    <row r="2" spans="1:6" ht="33" customHeight="1" thickBot="1" x14ac:dyDescent="0.3">
      <c r="A2" s="10" t="s">
        <v>40</v>
      </c>
      <c r="B2" s="11" t="s">
        <v>41</v>
      </c>
      <c r="C2" s="11">
        <v>24</v>
      </c>
      <c r="D2" s="11">
        <v>31000</v>
      </c>
    </row>
    <row r="3" spans="1:6" ht="33" customHeight="1" thickBot="1" x14ac:dyDescent="0.3">
      <c r="A3" s="10" t="s">
        <v>43</v>
      </c>
      <c r="B3" s="11" t="s">
        <v>45</v>
      </c>
      <c r="C3" s="11">
        <v>29</v>
      </c>
      <c r="D3" s="11">
        <v>36000</v>
      </c>
    </row>
    <row r="4" spans="1:6" ht="33" customHeight="1" thickBot="1" x14ac:dyDescent="0.3">
      <c r="A4" s="10" t="s">
        <v>44</v>
      </c>
      <c r="B4" s="11" t="s">
        <v>45</v>
      </c>
      <c r="C4" s="12"/>
      <c r="D4" s="11">
        <v>39000</v>
      </c>
    </row>
    <row r="5" spans="1:6" ht="33" customHeight="1" thickBot="1" x14ac:dyDescent="0.3">
      <c r="A5" s="10" t="s">
        <v>46</v>
      </c>
      <c r="B5" s="11" t="s">
        <v>45</v>
      </c>
      <c r="C5" s="11">
        <v>31</v>
      </c>
      <c r="D5" s="11">
        <v>39000</v>
      </c>
    </row>
    <row r="6" spans="1:6" ht="33" customHeight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FlashFill</vt:lpstr>
      <vt:lpstr>staff</vt:lpstr>
      <vt:lpstr>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Poojary</dc:creator>
  <cp:lastModifiedBy>Ankit Poojary</cp:lastModifiedBy>
  <dcterms:created xsi:type="dcterms:W3CDTF">2026-08-18T05:58:20Z</dcterms:created>
  <dcterms:modified xsi:type="dcterms:W3CDTF">2026-08-19T05:35:04Z</dcterms:modified>
</cp:coreProperties>
</file>