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4SN22AI062VAP\StayEase-Data-Analysis\"/>
    </mc:Choice>
  </mc:AlternateContent>
  <xr:revisionPtr revIDLastSave="0" documentId="13_ncr:1_{21B7625B-64D0-42F7-96A3-2AEDF716F1B5}" xr6:coauthVersionLast="47" xr6:coauthVersionMax="47" xr10:uidLastSave="{00000000-0000-0000-0000-000000000000}"/>
  <bookViews>
    <workbookView xWindow="-120" yWindow="-120" windowWidth="29040" windowHeight="15720" activeTab="7" xr2:uid="{A4288E4A-1D6C-402B-A533-E1E8195B289F}"/>
  </bookViews>
  <sheets>
    <sheet name="salesrelative" sheetId="14" r:id="rId1"/>
    <sheet name="STUDENTMARKS" sheetId="15" r:id="rId2"/>
    <sheet name="Sheet6" sheetId="16" r:id="rId3"/>
    <sheet name="Sheet3" sheetId="17" r:id="rId4"/>
    <sheet name="Sheet5" sheetId="18" r:id="rId5"/>
    <sheet name="PIVOT TABLE" sheetId="20" r:id="rId6"/>
    <sheet name="Sheet9" sheetId="21" r:id="rId7"/>
    <sheet name="conditional" sheetId="22" r:id="rId8"/>
    <sheet name="Sheet7" sheetId="19" r:id="rId9"/>
    <sheet name="Employees" sheetId="3" r:id="rId10"/>
    <sheet name="TASKS" sheetId="5" r:id="rId11"/>
    <sheet name="Fiction" sheetId="6" r:id="rId12"/>
    <sheet name="Academics" sheetId="7" r:id="rId13"/>
    <sheet name="Orders" sheetId="8" r:id="rId14"/>
    <sheet name="TASKS (2)" sheetId="10" r:id="rId15"/>
    <sheet name="Sheet1" sheetId="12" r:id="rId16"/>
    <sheet name="Sheet2" sheetId="13" r:id="rId17"/>
    <sheet name="Autofill Task" sheetId="11" r:id="rId18"/>
    <sheet name="Sheet4" sheetId="4" state="hidden" r:id="rId19"/>
  </sheets>
  <definedNames>
    <definedName name="_xlnm._FilterDatabase" localSheetId="2" hidden="1">Sheet6!$A$1:$C$5</definedName>
    <definedName name="Slicer_Department">#N/A</definedName>
    <definedName name="Slicer_Sales_Date">#N/A</definedName>
  </definedNames>
  <calcPr calcId="181029"/>
  <pivotCaches>
    <pivotCache cacheId="0"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 i="18" l="1"/>
  <c r="G9" i="18"/>
  <c r="I18" i="18"/>
  <c r="H4" i="18"/>
  <c r="G4" i="18"/>
  <c r="F2" i="17"/>
  <c r="F3" i="17"/>
  <c r="F4" i="17"/>
  <c r="F5" i="17"/>
  <c r="F6" i="17"/>
  <c r="F7" i="17"/>
  <c r="F8" i="17"/>
  <c r="F9" i="17"/>
  <c r="F10" i="17"/>
  <c r="F11" i="17"/>
  <c r="F12" i="17"/>
  <c r="F13" i="17"/>
  <c r="F14" i="17"/>
  <c r="F15" i="17"/>
  <c r="F16" i="17"/>
  <c r="F17" i="17"/>
  <c r="F18" i="17"/>
  <c r="F19" i="17"/>
  <c r="F20" i="17"/>
  <c r="F21" i="17"/>
  <c r="G3" i="15"/>
  <c r="G4" i="15"/>
  <c r="G2" i="15"/>
  <c r="F2" i="15"/>
  <c r="F3" i="15"/>
  <c r="F4" i="15"/>
  <c r="D3" i="15"/>
  <c r="D4" i="15"/>
  <c r="D2" i="15"/>
  <c r="C3" i="15"/>
  <c r="C4" i="15"/>
  <c r="C2" i="15"/>
  <c r="I2" i="14"/>
  <c r="C3" i="14"/>
  <c r="C4" i="14"/>
  <c r="C5" i="14"/>
  <c r="C2" i="14"/>
  <c r="B9" i="14"/>
  <c r="B7" i="14"/>
  <c r="B6" i="14"/>
  <c r="B9" i="13"/>
  <c r="B7" i="13"/>
  <c r="B6" i="13"/>
  <c r="C5" i="12"/>
  <c r="C4" i="12"/>
  <c r="C3" i="12"/>
  <c r="C2" i="12"/>
  <c r="C1" i="12"/>
  <c r="E13" i="10"/>
  <c r="E12" i="10"/>
  <c r="F12" i="10"/>
  <c r="D8" i="3"/>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ankit</author>
  </authors>
  <commentList>
    <comment ref="H4" authorId="0" shapeId="0" xr:uid="{AD70BB7C-4DD6-40AC-87E5-93B5DA5E1B57}">
      <text>
        <r>
          <rPr>
            <b/>
            <sz val="9"/>
            <color indexed="81"/>
            <rFont val="Tahoma"/>
            <family val="2"/>
          </rPr>
          <t>ankit:</t>
        </r>
        <r>
          <rPr>
            <sz val="9"/>
            <color indexed="81"/>
            <rFont val="Tahoma"/>
            <family val="2"/>
          </rPr>
          <t xml:space="preserve">
Sapiens is in B4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ankit</author>
  </authors>
  <commentList>
    <comment ref="H4" authorId="0" shapeId="0" xr:uid="{EEEE6CE8-32BC-46C1-B81D-F6EC9DD8B3EB}">
      <text>
        <r>
          <rPr>
            <b/>
            <sz val="9"/>
            <color indexed="81"/>
            <rFont val="Tahoma"/>
            <family val="2"/>
          </rPr>
          <t>ankit:</t>
        </r>
        <r>
          <rPr>
            <sz val="9"/>
            <color indexed="81"/>
            <rFont val="Tahoma"/>
            <family val="2"/>
          </rPr>
          <t xml:space="preserve">
Sapiens is in B4
</t>
        </r>
      </text>
    </comment>
  </commentList>
</comments>
</file>

<file path=xl/sharedStrings.xml><?xml version="1.0" encoding="utf-8"?>
<sst xmlns="http://schemas.openxmlformats.org/spreadsheetml/2006/main" count="476" uniqueCount="273">
  <si>
    <t>Employee Report</t>
  </si>
  <si>
    <t>Employee ID</t>
  </si>
  <si>
    <t>Employee Name</t>
  </si>
  <si>
    <t>Department</t>
  </si>
  <si>
    <t>Salary</t>
  </si>
  <si>
    <t>Joining Date</t>
  </si>
  <si>
    <t>E001</t>
  </si>
  <si>
    <t>Vrushali</t>
  </si>
  <si>
    <t>Data Analyst</t>
  </si>
  <si>
    <t>E002</t>
  </si>
  <si>
    <t>Pratham</t>
  </si>
  <si>
    <t>Ai Developer</t>
  </si>
  <si>
    <t>E003</t>
  </si>
  <si>
    <t>Ankitha</t>
  </si>
  <si>
    <t>IT</t>
  </si>
  <si>
    <t>E004</t>
  </si>
  <si>
    <t>Nafiya</t>
  </si>
  <si>
    <t>Finance</t>
  </si>
  <si>
    <t>Column1</t>
  </si>
  <si>
    <t>Column2</t>
  </si>
  <si>
    <t>Column3</t>
  </si>
  <si>
    <t>Column4</t>
  </si>
  <si>
    <t>Column5</t>
  </si>
  <si>
    <t>Total</t>
  </si>
  <si>
    <t>Book ID</t>
  </si>
  <si>
    <t>Title</t>
  </si>
  <si>
    <t>Author</t>
  </si>
  <si>
    <t>Genre</t>
  </si>
  <si>
    <t>Price</t>
  </si>
  <si>
    <t>Purchase Date</t>
  </si>
  <si>
    <t>B001</t>
  </si>
  <si>
    <t>The Silent Patient</t>
  </si>
  <si>
    <t>Alex Michaelides</t>
  </si>
  <si>
    <t>Thriller</t>
  </si>
  <si>
    <t>B002</t>
  </si>
  <si>
    <t>Atomic Habits</t>
  </si>
  <si>
    <t>James Clear</t>
  </si>
  <si>
    <t>Self-Help</t>
  </si>
  <si>
    <t>B003</t>
  </si>
  <si>
    <t>Sapiens</t>
  </si>
  <si>
    <t>Yuval Noah Harari</t>
  </si>
  <si>
    <t>History</t>
  </si>
  <si>
    <t>B004</t>
  </si>
  <si>
    <t>Data Science 101</t>
  </si>
  <si>
    <t>Ravi Kapoor</t>
  </si>
  <si>
    <t>Academic</t>
  </si>
  <si>
    <t>B005</t>
  </si>
  <si>
    <t>The Alchemist</t>
  </si>
  <si>
    <t>Paulo Coelho</t>
  </si>
  <si>
    <t>Fiction</t>
  </si>
  <si>
    <t>B006</t>
  </si>
  <si>
    <t>Python Crash Course</t>
  </si>
  <si>
    <t>Eric Matthes</t>
  </si>
  <si>
    <t>B007</t>
  </si>
  <si>
    <t>Ikigai</t>
  </si>
  <si>
    <t>Hector Garcia</t>
  </si>
  <si>
    <t>College Bookstore — Inventory Report</t>
  </si>
  <si>
    <t>a</t>
  </si>
  <si>
    <t>Column6</t>
  </si>
  <si>
    <t>B008</t>
  </si>
  <si>
    <t>A1</t>
  </si>
  <si>
    <t>A2</t>
  </si>
  <si>
    <t>A3</t>
  </si>
  <si>
    <t>A4</t>
  </si>
  <si>
    <t>A5</t>
  </si>
  <si>
    <t>A6</t>
  </si>
  <si>
    <t>A7</t>
  </si>
  <si>
    <t>Bookstore</t>
  </si>
  <si>
    <t>March</t>
  </si>
  <si>
    <t>April</t>
  </si>
  <si>
    <t>May</t>
  </si>
  <si>
    <t>June</t>
  </si>
  <si>
    <t>July</t>
  </si>
  <si>
    <t>August</t>
  </si>
  <si>
    <t>September</t>
  </si>
  <si>
    <t>October</t>
  </si>
  <si>
    <t>November</t>
  </si>
  <si>
    <t>December</t>
  </si>
  <si>
    <t>January</t>
  </si>
  <si>
    <t>February</t>
  </si>
  <si>
    <t xml:space="preserve">sum = </t>
  </si>
  <si>
    <t xml:space="preserve">product </t>
  </si>
  <si>
    <t>sales</t>
  </si>
  <si>
    <t>product</t>
  </si>
  <si>
    <t>price</t>
  </si>
  <si>
    <t>GST</t>
  </si>
  <si>
    <t>A</t>
  </si>
  <si>
    <t>B</t>
  </si>
  <si>
    <t>C</t>
  </si>
  <si>
    <t>student</t>
  </si>
  <si>
    <t>marks</t>
  </si>
  <si>
    <t>rhul</t>
  </si>
  <si>
    <t>priya</t>
  </si>
  <si>
    <t>arjun</t>
  </si>
  <si>
    <t>p/f</t>
  </si>
  <si>
    <t>grade</t>
  </si>
  <si>
    <t>Present</t>
  </si>
  <si>
    <t>attendance</t>
  </si>
  <si>
    <t>pass/fail</t>
  </si>
  <si>
    <t>Employee</t>
  </si>
  <si>
    <t>Sales</t>
  </si>
  <si>
    <t>Rahul</t>
  </si>
  <si>
    <t>Priya</t>
  </si>
  <si>
    <t>Arjun</t>
  </si>
  <si>
    <t>Sneha</t>
  </si>
  <si>
    <t>HR</t>
  </si>
  <si>
    <t>Name</t>
  </si>
  <si>
    <t>city</t>
  </si>
  <si>
    <t>age</t>
  </si>
  <si>
    <t>salary</t>
  </si>
  <si>
    <t>John Smith</t>
  </si>
  <si>
    <t>New York</t>
  </si>
  <si>
    <t>Emma Johnson</t>
  </si>
  <si>
    <t>Chicago</t>
  </si>
  <si>
    <t>Michael Brown</t>
  </si>
  <si>
    <t>Boston</t>
  </si>
  <si>
    <t>Sophia Davis</t>
  </si>
  <si>
    <t>Daniel Wilson</t>
  </si>
  <si>
    <t>Olivia Miller</t>
  </si>
  <si>
    <t>James Moore</t>
  </si>
  <si>
    <t>Ava Taylor</t>
  </si>
  <si>
    <t>William Anderson</t>
  </si>
  <si>
    <t>Isabella Thomas</t>
  </si>
  <si>
    <t>Noah Jackson</t>
  </si>
  <si>
    <t>Mia White</t>
  </si>
  <si>
    <t>Ethan Harris</t>
  </si>
  <si>
    <t>Charlotte Martin</t>
  </si>
  <si>
    <t>Lucas Thompson</t>
  </si>
  <si>
    <t>Amelia Garcia</t>
  </si>
  <si>
    <t>Henry Martinez</t>
  </si>
  <si>
    <t>Harper Robinson</t>
  </si>
  <si>
    <t>Alexander Clark</t>
  </si>
  <si>
    <t>Evelyn Lewis</t>
  </si>
  <si>
    <t>Fname</t>
  </si>
  <si>
    <t>John</t>
  </si>
  <si>
    <t>Emma</t>
  </si>
  <si>
    <t>Michael</t>
  </si>
  <si>
    <t>Sophia</t>
  </si>
  <si>
    <t>Daniel</t>
  </si>
  <si>
    <t>Olivia</t>
  </si>
  <si>
    <t>James</t>
  </si>
  <si>
    <t>Ava</t>
  </si>
  <si>
    <t>William</t>
  </si>
  <si>
    <t>Isabella</t>
  </si>
  <si>
    <t>Noah</t>
  </si>
  <si>
    <t>Mia</t>
  </si>
  <si>
    <t>Ethan</t>
  </si>
  <si>
    <t>Charlotte</t>
  </si>
  <si>
    <t>Lucas</t>
  </si>
  <si>
    <t>Amelia</t>
  </si>
  <si>
    <t>Henry</t>
  </si>
  <si>
    <t>Harper</t>
  </si>
  <si>
    <t>Alexander</t>
  </si>
  <si>
    <t>Evelyn</t>
  </si>
  <si>
    <t>Email</t>
  </si>
  <si>
    <t>username</t>
  </si>
  <si>
    <t>john</t>
  </si>
  <si>
    <t>emma</t>
  </si>
  <si>
    <t>michael</t>
  </si>
  <si>
    <t>sophia</t>
  </si>
  <si>
    <t>daniel</t>
  </si>
  <si>
    <t>olivia</t>
  </si>
  <si>
    <t>james</t>
  </si>
  <si>
    <t>ava</t>
  </si>
  <si>
    <t>william</t>
  </si>
  <si>
    <t>isabella</t>
  </si>
  <si>
    <t>noah</t>
  </si>
  <si>
    <t>mia</t>
  </si>
  <si>
    <t>ethan</t>
  </si>
  <si>
    <t>charlotte</t>
  </si>
  <si>
    <t>lucas</t>
  </si>
  <si>
    <t>amelia</t>
  </si>
  <si>
    <t>henry</t>
  </si>
  <si>
    <t>harper</t>
  </si>
  <si>
    <t>alexander</t>
  </si>
  <si>
    <t>evelyn</t>
  </si>
  <si>
    <t>EmployeeId</t>
  </si>
  <si>
    <t>Employee name</t>
  </si>
  <si>
    <t>Location</t>
  </si>
  <si>
    <t>EMP001</t>
  </si>
  <si>
    <t>Rahul Sharma</t>
  </si>
  <si>
    <t>Bangalore</t>
  </si>
  <si>
    <t>EMP002</t>
  </si>
  <si>
    <t>Priya Patel</t>
  </si>
  <si>
    <t>Mumbai</t>
  </si>
  <si>
    <t>EMP003</t>
  </si>
  <si>
    <t>Arjun Kumar</t>
  </si>
  <si>
    <t>Delhi</t>
  </si>
  <si>
    <t>EMP004</t>
  </si>
  <si>
    <t>Sneha Reddy</t>
  </si>
  <si>
    <t>Marketing</t>
  </si>
  <si>
    <t>Hyderabad</t>
  </si>
  <si>
    <t>EMP005</t>
  </si>
  <si>
    <t>Vikram Singh</t>
  </si>
  <si>
    <t>Pune</t>
  </si>
  <si>
    <t>EMP006</t>
  </si>
  <si>
    <t>Ananya Rao</t>
  </si>
  <si>
    <t>Chennai</t>
  </si>
  <si>
    <t>EMP007</t>
  </si>
  <si>
    <t>Rohit Verma</t>
  </si>
  <si>
    <t>EMP008</t>
  </si>
  <si>
    <t>Neha Joshi</t>
  </si>
  <si>
    <t>EMP009</t>
  </si>
  <si>
    <t>Karan Mehta</t>
  </si>
  <si>
    <t>EMP010</t>
  </si>
  <si>
    <t>Divya Nair</t>
  </si>
  <si>
    <t>Kochi</t>
  </si>
  <si>
    <t>EMP011</t>
  </si>
  <si>
    <t>Aditya Shah</t>
  </si>
  <si>
    <t>Ahmedabad</t>
  </si>
  <si>
    <t>EMP012</t>
  </si>
  <si>
    <t>Pooja Iyer</t>
  </si>
  <si>
    <t>EMP013</t>
  </si>
  <si>
    <t>Manish Gupta</t>
  </si>
  <si>
    <t>EMP014</t>
  </si>
  <si>
    <t>Kavya Menon</t>
  </si>
  <si>
    <t>EMP015</t>
  </si>
  <si>
    <t>Suresh Yadav</t>
  </si>
  <si>
    <t>EMP016</t>
  </si>
  <si>
    <t>Meera Das</t>
  </si>
  <si>
    <t>Kolkata</t>
  </si>
  <si>
    <t>EMP017</t>
  </si>
  <si>
    <t>Akash Jain</t>
  </si>
  <si>
    <t>EMP018</t>
  </si>
  <si>
    <t>Riya Kapoor</t>
  </si>
  <si>
    <t>EMP019</t>
  </si>
  <si>
    <t>Nikhil Bhat</t>
  </si>
  <si>
    <t>EMP020</t>
  </si>
  <si>
    <t>Aishwarya Rao</t>
  </si>
  <si>
    <t>EMPLOYEE ID</t>
  </si>
  <si>
    <t>NAME</t>
  </si>
  <si>
    <t>(=VLOOKUP(lookup_value, table_array, col_index_num, [range_lookup]))</t>
  </si>
  <si>
    <t>dept</t>
  </si>
  <si>
    <t>syntax VLOOKUP</t>
  </si>
  <si>
    <t>syntax HLOOKUP</t>
  </si>
  <si>
    <t>(=HLOOKUP(lookup_value, table_array, row_index_num, [range_lookup]))</t>
  </si>
  <si>
    <t>HLOOKUP</t>
  </si>
  <si>
    <t>name</t>
  </si>
  <si>
    <t>syntax MATCH</t>
  </si>
  <si>
    <t>(=MATCH(lookup_value, lookup_array, match_type))</t>
  </si>
  <si>
    <t>VLOOKUP</t>
  </si>
  <si>
    <t>MATCH</t>
  </si>
  <si>
    <t>syntax IFERROR</t>
  </si>
  <si>
    <t>(=IFERROR(value, value_if_error))</t>
  </si>
  <si>
    <t>IFERROR</t>
  </si>
  <si>
    <t>Product</t>
  </si>
  <si>
    <t>Sales Date</t>
  </si>
  <si>
    <t>Mangalore</t>
  </si>
  <si>
    <t>Laptop</t>
  </si>
  <si>
    <t>Udupi</t>
  </si>
  <si>
    <t>Chair</t>
  </si>
  <si>
    <t>Mouse</t>
  </si>
  <si>
    <t>Megha</t>
  </si>
  <si>
    <t>Manipal</t>
  </si>
  <si>
    <t>Kiran</t>
  </si>
  <si>
    <t>Monitor</t>
  </si>
  <si>
    <t>Anjali</t>
  </si>
  <si>
    <t>Rohit</t>
  </si>
  <si>
    <t>Meena</t>
  </si>
  <si>
    <t>Row Labels</t>
  </si>
  <si>
    <t>Grand Total</t>
  </si>
  <si>
    <t>Sum of Sales</t>
  </si>
  <si>
    <t>Days (Sales Date)</t>
  </si>
  <si>
    <t>(All)</t>
  </si>
  <si>
    <t>Column Labels</t>
  </si>
  <si>
    <t>Customer</t>
  </si>
  <si>
    <t>Profit</t>
  </si>
  <si>
    <t>Performance</t>
  </si>
  <si>
    <t>Keyboard</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</si>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</sst>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F800]dddd\,\ mmmm\ dd\,\ yyyy"/>
  </numFmts>
  <fonts count="11" x14ac:knownFonts="1">
    <font>
      <sz val="11"/>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sz val="10"/>
      <color theme="1"/>
      <name val="Times New Roman"/>
      <family val="1"/>
    </font>
    <font>
      <sz val="9"/>
      <color indexed="81"/>
      <name val="Tahoma"/>
      <family val="2"/>
    </font>
    <font>
      <b/>
      <sz val="9"/>
      <color indexed="81"/>
      <name val="Tahoma"/>
      <family val="2"/>
    </font>
    <font>
      <sz val="8"/>
      <name val="Calibri"/>
      <family val="2"/>
      <scheme val="minor"/>
    </font>
    <font>
      <b/>
      <sz val="16"/>
      <color theme="1"/>
      <name val="Calibri"/>
      <family val="2"/>
      <scheme val="minor"/>
    </font>
    <font>
      <b/>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FF00"/>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0" fillId="0" borderId="0" applyNumberFormat="0" applyFill="0" applyBorder="0" applyAlignment="0" applyProtection="0"/>
  </cellStyleXfs>
  <cellXfs count="65">
    <xf numFmtId="0" fontId="0" fillId="0" borderId="0" xfId="0"/>
    <xf numFmtId="0" fontId="2" fillId="0" borderId="0" xfId="0" applyFont="1"/>
    <xf numFmtId="0" fontId="2" fillId="3" borderId="2" xfId="0" applyFont="1" applyFill="1" applyBorder="1" applyAlignment="1">
      <alignment horizontal="center" wrapText="1"/>
    </xf>
    <xf numFmtId="164" fontId="2" fillId="3" borderId="2" xfId="0" applyNumberFormat="1" applyFont="1" applyFill="1" applyBorder="1" applyAlignment="1">
      <alignment horizontal="center" wrapText="1"/>
    </xf>
    <xf numFmtId="165" fontId="2" fillId="3" borderId="2" xfId="0" applyNumberFormat="1" applyFont="1" applyFill="1" applyBorder="1" applyAlignment="1">
      <alignment horizontal="center" wrapText="1"/>
    </xf>
    <xf numFmtId="0" fontId="0" fillId="0" borderId="2" xfId="0" applyBorder="1" applyAlignment="1">
      <alignment horizontal="center"/>
    </xf>
    <xf numFmtId="0" fontId="3" fillId="4" borderId="2" xfId="0" applyFont="1" applyFill="1" applyBorder="1" applyAlignment="1">
      <alignment horizontal="center" wrapText="1"/>
    </xf>
    <xf numFmtId="164" fontId="0" fillId="0" borderId="2" xfId="0" applyNumberFormat="1" applyBorder="1" applyAlignment="1">
      <alignment horizontal="center"/>
    </xf>
    <xf numFmtId="165" fontId="0" fillId="0" borderId="0" xfId="0" applyNumberFormat="1"/>
    <xf numFmtId="164" fontId="0" fillId="0" borderId="0" xfId="0" applyNumberFormat="1"/>
    <xf numFmtId="0" fontId="0" fillId="0" borderId="3" xfId="0" applyBorder="1" applyAlignment="1">
      <alignment horizontal="center"/>
    </xf>
    <xf numFmtId="165" fontId="0" fillId="0" borderId="4" xfId="0" applyNumberFormat="1" applyBorder="1" applyAlignment="1">
      <alignment horizontal="center" vertical="center"/>
    </xf>
    <xf numFmtId="0" fontId="0" fillId="0" borderId="8" xfId="0" applyBorder="1" applyAlignment="1">
      <alignment horizontal="center"/>
    </xf>
    <xf numFmtId="0" fontId="3" fillId="4" borderId="9" xfId="0" applyFont="1" applyFill="1" applyBorder="1" applyAlignment="1">
      <alignment horizontal="center" wrapText="1"/>
    </xf>
    <xf numFmtId="0" fontId="0" fillId="0" borderId="9" xfId="0" applyBorder="1" applyAlignment="1">
      <alignment horizontal="center"/>
    </xf>
    <xf numFmtId="164" fontId="0" fillId="0" borderId="9" xfId="0" applyNumberFormat="1" applyBorder="1" applyAlignment="1">
      <alignment horizontal="center"/>
    </xf>
    <xf numFmtId="165" fontId="0" fillId="0" borderId="10" xfId="0" applyNumberFormat="1" applyBorder="1" applyAlignment="1">
      <alignment horizontal="center" vertical="center"/>
    </xf>
    <xf numFmtId="0" fontId="0" fillId="0" borderId="5" xfId="0" applyBorder="1" applyAlignment="1">
      <alignment horizontal="center"/>
    </xf>
    <xf numFmtId="0" fontId="3" fillId="4" borderId="6" xfId="0" applyFont="1" applyFill="1" applyBorder="1" applyAlignment="1">
      <alignment horizontal="center" wrapText="1"/>
    </xf>
    <xf numFmtId="0" fontId="0" fillId="0" borderId="6" xfId="0" applyBorder="1" applyAlignment="1">
      <alignment horizontal="center"/>
    </xf>
    <xf numFmtId="164" fontId="0" fillId="0" borderId="6" xfId="0" applyNumberFormat="1" applyBorder="1" applyAlignment="1">
      <alignment horizontal="center"/>
    </xf>
    <xf numFmtId="165" fontId="0" fillId="0" borderId="7" xfId="0" applyNumberFormat="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2" fillId="5" borderId="2" xfId="0" applyFont="1" applyFill="1" applyBorder="1" applyAlignment="1">
      <alignment horizontal="center"/>
    </xf>
    <xf numFmtId="0" fontId="2" fillId="5" borderId="2" xfId="0" applyFont="1" applyFill="1" applyBorder="1" applyAlignment="1">
      <alignment horizontal="left"/>
    </xf>
    <xf numFmtId="164" fontId="2" fillId="5" borderId="2" xfId="0" applyNumberFormat="1" applyFont="1" applyFill="1" applyBorder="1" applyAlignment="1">
      <alignment horizontal="center"/>
    </xf>
    <xf numFmtId="14" fontId="2" fillId="5" borderId="2" xfId="0" applyNumberFormat="1" applyFont="1" applyFill="1" applyBorder="1" applyAlignment="1">
      <alignment horizontal="center" wrapText="1"/>
    </xf>
    <xf numFmtId="0" fontId="0" fillId="5" borderId="5" xfId="0" applyFill="1" applyBorder="1" applyAlignment="1">
      <alignment horizontal="center"/>
    </xf>
    <xf numFmtId="0" fontId="0" fillId="5" borderId="6" xfId="0" applyFill="1" applyBorder="1" applyAlignment="1">
      <alignment horizontal="left"/>
    </xf>
    <xf numFmtId="0" fontId="0" fillId="5" borderId="6" xfId="0" applyFill="1" applyBorder="1" applyAlignment="1">
      <alignment horizontal="center"/>
    </xf>
    <xf numFmtId="164" fontId="0" fillId="5" borderId="6" xfId="0" applyNumberFormat="1" applyFill="1" applyBorder="1" applyAlignment="1">
      <alignment horizontal="center"/>
    </xf>
    <xf numFmtId="14" fontId="0" fillId="5" borderId="7" xfId="0" applyNumberFormat="1" applyFill="1" applyBorder="1" applyAlignment="1">
      <alignment horizontal="center"/>
    </xf>
    <xf numFmtId="0" fontId="0" fillId="5" borderId="3" xfId="0" applyFill="1" applyBorder="1" applyAlignment="1">
      <alignment horizontal="center"/>
    </xf>
    <xf numFmtId="0" fontId="0" fillId="5" borderId="2" xfId="0" applyFill="1" applyBorder="1" applyAlignment="1">
      <alignment horizontal="left"/>
    </xf>
    <xf numFmtId="0" fontId="0" fillId="5" borderId="2" xfId="0" applyFill="1" applyBorder="1" applyAlignment="1">
      <alignment horizontal="center"/>
    </xf>
    <xf numFmtId="164" fontId="0" fillId="5" borderId="2" xfId="0" applyNumberFormat="1" applyFill="1" applyBorder="1" applyAlignment="1">
      <alignment horizontal="center"/>
    </xf>
    <xf numFmtId="14" fontId="0" fillId="5" borderId="4" xfId="0" applyNumberFormat="1"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left"/>
    </xf>
    <xf numFmtId="0" fontId="0" fillId="5" borderId="9" xfId="0" applyFill="1" applyBorder="1" applyAlignment="1">
      <alignment horizontal="center"/>
    </xf>
    <xf numFmtId="164" fontId="0" fillId="5" borderId="9" xfId="0" applyNumberFormat="1" applyFill="1" applyBorder="1" applyAlignment="1">
      <alignment horizontal="center"/>
    </xf>
    <xf numFmtId="14" fontId="0" fillId="5" borderId="10" xfId="0" applyNumberFormat="1" applyFill="1" applyBorder="1" applyAlignment="1">
      <alignment horizontal="center"/>
    </xf>
    <xf numFmtId="9" fontId="0" fillId="0" borderId="0" xfId="0" applyNumberFormat="1"/>
    <xf numFmtId="0" fontId="8" fillId="0" borderId="0" xfId="0" applyFont="1" applyAlignment="1">
      <alignment horizontal="center"/>
    </xf>
    <xf numFmtId="0" fontId="0" fillId="6" borderId="0" xfId="0" applyFill="1" applyAlignment="1">
      <alignment horizontal="center"/>
    </xf>
    <xf numFmtId="0" fontId="9"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9" fillId="0" borderId="0" xfId="0" applyFont="1" applyAlignment="1">
      <alignment horizontal="left" vertical="top"/>
    </xf>
    <xf numFmtId="0" fontId="10" fillId="0" borderId="0" xfId="1" applyAlignment="1">
      <alignment horizontal="left" vertical="top"/>
    </xf>
    <xf numFmtId="0" fontId="0" fillId="0" borderId="0" xfId="0" applyAlignment="1">
      <alignment horizontal="left"/>
    </xf>
    <xf numFmtId="0" fontId="9" fillId="0" borderId="0" xfId="0" applyFont="1" applyAlignment="1">
      <alignment horizontal="left" vertical="center" wrapText="1"/>
    </xf>
    <xf numFmtId="0" fontId="0" fillId="0" borderId="0" xfId="0" applyAlignment="1">
      <alignment horizontal="left" vertical="center" wrapText="1"/>
    </xf>
    <xf numFmtId="0" fontId="0" fillId="7" borderId="0" xfId="0" applyFill="1" applyAlignment="1">
      <alignment horizontal="left"/>
    </xf>
    <xf numFmtId="14" fontId="0" fillId="0" borderId="0" xfId="0" applyNumberFormat="1" applyAlignment="1">
      <alignment horizontal="left"/>
    </xf>
    <xf numFmtId="0" fontId="1" fillId="0" borderId="0" xfId="0" applyFont="1" applyAlignment="1">
      <alignment horizontal="left"/>
    </xf>
    <xf numFmtId="0" fontId="0" fillId="0" borderId="0" xfId="0" pivotButton="1"/>
    <xf numFmtId="0" fontId="1" fillId="2" borderId="1" xfId="0" applyFont="1" applyFill="1" applyBorder="1" applyAlignment="1">
      <alignment horizontal="center"/>
    </xf>
    <xf numFmtId="0" fontId="0" fillId="2" borderId="1" xfId="0" applyFill="1" applyBorder="1" applyAlignment="1">
      <alignment horizontal="center"/>
    </xf>
    <xf numFmtId="0" fontId="4" fillId="0" borderId="1" xfId="0" applyFont="1" applyBorder="1" applyAlignment="1">
      <alignment horizontal="center"/>
    </xf>
    <xf numFmtId="0" fontId="2" fillId="0" borderId="0" xfId="0" applyFont="1" applyAlignment="1">
      <alignment horizontal="center" wrapText="1"/>
    </xf>
    <xf numFmtId="0" fontId="2" fillId="0" borderId="0" xfId="0" applyFont="1" applyAlignment="1">
      <alignment horizontal="center"/>
    </xf>
  </cellXfs>
  <cellStyles count="2">
    <cellStyle name="Hyperlink" xfId="1" builtinId="8"/>
    <cellStyle name="Normal" xfId="0" builtinId="0"/>
  </cellStyles>
  <dxfs count="56">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numFmt numFmtId="164" formatCode="&quot;₹&quot;\ #,##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fill>
        <patternFill patternType="solid">
          <fgColor indexed="64"/>
          <bgColor rgb="FF92D05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quot;₹&quot;\ #,##0.00"/>
      <fill>
        <patternFill patternType="solid">
          <fgColor indexed="64"/>
          <bgColor rgb="FF92D05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92D05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rgb="FF92D050"/>
        </patternFill>
      </fill>
    </dxf>
    <dxf>
      <border outline="0">
        <bottom style="thin">
          <color indexed="64"/>
        </bottom>
      </border>
    </dxf>
    <dxf>
      <fill>
        <patternFill patternType="solid">
          <fgColor indexed="64"/>
          <bgColor rgb="FF92D050"/>
        </patternFill>
      </fill>
    </dxf>
    <dxf>
      <alignment horizontal="center" vertical="center" textRotation="0" wrapText="0" indent="0" justifyLastLine="0" shrinkToFit="0" readingOrder="0"/>
      <border diagonalUp="0" diagonalDown="0" outline="0">
        <left style="thin">
          <color indexed="64"/>
        </left>
        <right/>
        <top style="thin">
          <color indexed="64"/>
        </top>
        <bottom/>
      </border>
    </dxf>
    <dxf>
      <numFmt numFmtId="165" formatCode="[$-F800]dddd\,\ mmmm\ dd\,\ yyyy"/>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64"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Calibri"/>
        <family val="2"/>
        <scheme val="minor"/>
      </font>
      <fill>
        <patternFill patternType="solid">
          <fgColor indexed="64"/>
          <bgColor theme="0" tint="-0.14999847407452621"/>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[EXCELCLASS.xlsx]PIVOT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TABLE'!$A$2:$A$4</c:f>
              <c:strCache>
                <c:ptCount val="2"/>
                <c:pt idx="0">
                  <c:v>HR</c:v>
                </c:pt>
                <c:pt idx="1">
                  <c:v>Sales</c:v>
                </c:pt>
              </c:strCache>
            </c:strRef>
          </c:cat>
          <c:val>
            <c:numRef>
              <c:f>'PIVOT TABLE'!$B$2:$B$4</c:f>
              <c:numCache>
                <c:formatCode>General</c:formatCode>
                <c:ptCount val="2"/>
                <c:pt idx="0">
                  <c:v>58000</c:v>
                </c:pt>
                <c:pt idx="1">
                  <c:v>263000</c:v>
                </c:pt>
              </c:numCache>
            </c:numRef>
          </c:val>
          <c:extLst>
            <c:ext xmlns:c16="http://schemas.microsoft.com/office/drawing/2014/chart" uri="{C3380CC4-5D6E-409C-BE32-E72D297353CC}">
              <c16:uniqueId val="{00000000-81AF-48F7-9346-F55A65506B89}"/>
            </c:ext>
          </c:extLst>
        </c:ser>
        <c:dLbls>
          <c:showLegendKey val="0"/>
          <c:showVal val="0"/>
          <c:showCatName val="0"/>
          <c:showSerName val="0"/>
          <c:showPercent val="0"/>
          <c:showBubbleSize val="0"/>
        </c:dLbls>
        <c:gapWidth val="219"/>
        <c:overlap val="-27"/>
        <c:axId val="524446368"/>
        <c:axId val="524448528"/>
      </c:barChart>
      <c:catAx>
        <c:axId val="52444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8528"/>
        <c:crosses val="autoZero"/>
        <c:auto val="1"/>
        <c:lblAlgn val="ctr"/>
        <c:lblOffset val="100"/>
        <c:noMultiLvlLbl val="0"/>
      </c:catAx>
      <c:valAx>
        <c:axId val="52444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4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[EXCELCLASS.xlsx]Sheet9!PivotTable2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LOCATION</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Mangalore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Sheet9!$A$5:$A$6</c:f>
              <c:strCache>
                <c:ptCount val="1"/>
                <c:pt idx="0">
                  <c:v>Finance</c:v>
                </c:pt>
              </c:strCache>
            </c:strRef>
          </c:cat>
          <c:val>
            <c:numRef>
              <c:f>Sheet9!$B$5:$B$6</c:f>
              <c:numCache>
                <c:formatCode>General</c:formatCode>
                <c:ptCount val="1"/>
                <c:pt idx="0">
                  <c:v>39000</c:v>
                </c:pt>
              </c:numCache>
            </c:numRef>
          </c:val>
          <c:extLst>
            <c:ext xmlns:c16="http://schemas.microsoft.com/office/drawing/2014/chart" uri="{C3380CC4-5D6E-409C-BE32-E72D297353CC}">
              <c16:uniqueId val="{00000000-992E-41FB-9A65-C785A59F5619}"/>
            </c:ext>
          </c:extLst>
        </c:ser>
        <c:dLbls>
          <c:showLegendKey val="0"/>
          <c:showVal val="0"/>
          <c:showCatName val="0"/>
          <c:showSerName val="0"/>
          <c:showPercent val="0"/>
          <c:showBubbleSize val="0"/>
        </c:dLbls>
        <c:gapWidth val="315"/>
        <c:overlap val="-40"/>
        <c:axId val="407971104"/>
        <c:axId val="407972184"/>
      </c:barChart>
      <c:catAx>
        <c:axId val="407971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7972184"/>
        <c:crosses val="autoZero"/>
        <c:auto val="1"/>
        <c:lblAlgn val="ctr"/>
        <c:lblOffset val="100"/>
        <c:noMultiLvlLbl val="0"/>
      </c:catAx>
      <c:valAx>
        <c:axId val="407972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797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CAFE5BAA-F01A-1AE3-3E67-92CE2DDF5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xdr:colOff>
      <xdr:row>2</xdr:row>
      <xdr:rowOff>9525</xdr:rowOff>
    </xdr:from>
    <xdr:to>
      <xdr:col>13</xdr:col>
      <xdr:colOff>457200</xdr:colOff>
      <xdr:row>16</xdr:row>
      <xdr:rowOff>85725</xdr:rowOff>
    </xdr:to>
    <xdr:graphicFrame macro="">
      <xdr:nvGraphicFramePr>
        <xdr:cNvPr id="2" name="Chart 1">
          <a:extLst>
            <a:ext uri="{FF2B5EF4-FFF2-40B4-BE49-F238E27FC236}">
              <a16:creationId xmlns:a16="http://schemas.microsoft.com/office/drawing/2014/main" id="{A28824EA-8FC2-0525-CEB9-871F1AFC5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95250</xdr:colOff>
      <xdr:row>9</xdr:row>
      <xdr:rowOff>104775</xdr:rowOff>
    </xdr:from>
    <xdr:to>
      <xdr:col>4</xdr:col>
      <xdr:colOff>419100</xdr:colOff>
      <xdr:row>22</xdr:row>
      <xdr:rowOff>152400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99551D3-53F2-4CC7-1746-33440677345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66950" y="1819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9</xdr:row>
      <xdr:rowOff>76200</xdr:rowOff>
    </xdr:from>
    <xdr:to>
      <xdr:col>1</xdr:col>
      <xdr:colOff>1066800</xdr:colOff>
      <xdr:row>22</xdr:row>
      <xdr:rowOff>123825</xdr:rowOff>
    </xdr:to>
    <mc:AlternateContent xmlns:mc="http://schemas.openxmlformats.org/markup-compatibility/2006" xmlns:a14="http://schemas.microsoft.com/office/drawing/2010/main">
      <mc:Choice Requires="a14">
        <xdr:graphicFrame macro="">
          <xdr:nvGraphicFramePr>
            <xdr:cNvPr id="4" name="Sales Date">
              <a:extLst>
                <a:ext uri="{FF2B5EF4-FFF2-40B4-BE49-F238E27FC236}">
                  <a16:creationId xmlns:a16="http://schemas.microsoft.com/office/drawing/2014/main" id="{A89C7BD7-8C4A-CDC5-100E-3CD90C4BC0F7}"/>
                </a:ext>
              </a:extLst>
            </xdr:cNvPr>
            <xdr:cNvGraphicFramePr/>
          </xdr:nvGraphicFramePr>
          <xdr:xfrm>
            <a:off x="0" y="0"/>
            <a:ext cx="0" cy="0"/>
          </xdr:xfrm>
          <a:graphic>
            <a:graphicData uri="http://schemas.microsoft.com/office/drawing/2010/slicer">
              <sle:slicer xmlns:sle="http://schemas.microsoft.com/office/drawing/2010/slicer" name="Sales Date"/>
            </a:graphicData>
          </a:graphic>
        </xdr:graphicFrame>
      </mc:Choice>
      <mc:Fallback xmlns="">
        <xdr:sp macro="" textlink="">
          <xdr:nvSpPr>
            <xdr:cNvPr id="0" name=""/>
            <xdr:cNvSpPr>
              <a:spLocks noTextEdit="1"/>
            </xdr:cNvSpPr>
          </xdr:nvSpPr>
          <xdr:spPr>
            <a:xfrm>
              <a:off x="323850" y="1790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6252.489218981478" createdVersion="8" refreshedVersion="8" minRefreshableVersion="3" recordCount="8" xr:uid="{6619BE9B-D9BD-4AD8-8E68-551950E568A1}">
  <cacheSource type="worksheet">
    <worksheetSource name="Table1"/>
  </cacheSource>
  <cacheFields count="8">
    <cacheField name="Employee" numFmtId="0">
      <sharedItems count="8">
        <s v="Rahul"/>
        <s v="Priya"/>
        <s v="Arjun"/>
        <s v="Megha"/>
        <s v="Kiran"/>
        <s v="Anjali"/>
        <s v="Rohit"/>
        <s v="Meena"/>
      </sharedItems>
    </cacheField>
    <cacheField name="Department" numFmtId="0">
      <sharedItems count="3">
        <s v="Sales"/>
        <s v="HR"/>
        <s v="Finance"/>
      </sharedItems>
    </cacheField>
    <cacheField name="Location" numFmtId="0">
      <sharedItems count="3">
        <s v="Mangalore"/>
        <s v="Udupi"/>
        <s v="Manipal"/>
      </sharedItems>
    </cacheField>
    <cacheField name="Product" numFmtId="0">
      <sharedItems count="4">
        <s v="Laptop"/>
        <s v="Chair"/>
        <s v="Mouse"/>
        <s v="Monitor"/>
      </sharedItems>
    </cacheField>
    <cacheField name="Sales" numFmtId="0">
      <sharedItems containsSemiMixedTypes="0" containsString="0" containsNumber="1" containsInteger="1" minValue="28000" maxValue="81000"/>
    </cacheField>
    <cacheField name="Sales Date" numFmtId="14">
      <sharedItems containsSemiMixedTypes="0" containsNonDate="0" containsDate="1" containsString="0" minDate="2026-01-05T00:00:00" maxDate="2026-03-19T00:00:00" count="8">
        <d v="2026-01-05T00:00:00"/>
        <d v="2026-01-12T00:00:00"/>
        <d v="2026-01-20T00:00:00"/>
        <d v="2026-02-02T00:00:00"/>
        <d v="2026-02-14T00:00:00"/>
        <d v="2026-02-22T00:00:00"/>
        <d v="2026-03-03T00:00:00"/>
        <d v="2026-03-18T00:00:00"/>
      </sharedItems>
      <fieldGroup par="7"/>
    </cacheField>
    <cacheField name="Days (Sales Date)" numFmtId="0" databaseField="0">
      <fieldGroup base="5">
        <rangePr groupBy="days" startDate="2026-01-05T00:00:00" endDate="2026-03-19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3-2026"/>
        </groupItems>
      </fieldGroup>
    </cacheField>
    <cacheField name="Months (Sales Date)" numFmtId="0" databaseField="0">
      <fieldGroup base="5">
        <rangePr groupBy="months" startDate="2026-01-05T00:00:00" endDate="2026-03-19T00:00:00"/>
        <groupItems count="14">
          <s v="&lt;05-01-2026"/>
          <s v="Jan"/>
          <s v="Feb"/>
          <s v="Mar"/>
          <s v="Apr"/>
          <s v="May"/>
          <s v="Jun"/>
          <s v="Jul"/>
          <s v="Aug"/>
          <s v="Sep"/>
          <s v="Oct"/>
          <s v="Nov"/>
          <s v="Dec"/>
          <s v="&gt;19-03-2026"/>
        </groupItems>
      </fieldGroup>
    </cacheField>
  </cacheFields>
  <extLst>
    <ext xmlns:x14="http://schemas.microsoft.com/office/spreadsheetml/2009/9/main" uri="{725AE2AE-9491-48be-B2B4-4EB974FC3084}">
      <x14:pivotCacheDefinition pivotCacheId="1200139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n v="50000"/>
    <x v="0"/>
  </r>
  <r>
    <x v="1"/>
    <x v="1"/>
    <x v="1"/>
    <x v="1"/>
    <n v="30000"/>
    <x v="1"/>
  </r>
  <r>
    <x v="2"/>
    <x v="0"/>
    <x v="0"/>
    <x v="2"/>
    <n v="70000"/>
    <x v="2"/>
  </r>
  <r>
    <x v="3"/>
    <x v="2"/>
    <x v="2"/>
    <x v="0"/>
    <n v="45000"/>
    <x v="3"/>
  </r>
  <r>
    <x v="4"/>
    <x v="0"/>
    <x v="1"/>
    <x v="3"/>
    <n v="62000"/>
    <x v="4"/>
  </r>
  <r>
    <x v="5"/>
    <x v="1"/>
    <x v="2"/>
    <x v="1"/>
    <n v="28000"/>
    <x v="5"/>
  </r>
  <r>
    <x v="6"/>
    <x v="2"/>
    <x v="0"/>
    <x v="2"/>
    <n v="39000"/>
    <x v="6"/>
  </r>
  <r>
    <x v="7"/>
    <x v="0"/>
    <x v="2"/>
    <x v="3"/>
    <n v="8100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6BBE7-0CD7-45BC-9DA2-EA34A5C013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 firstHeaderRow="1" firstDataRow="1" firstDataCol="1"/>
  <pivotFields count="8">
    <pivotField showAll="0">
      <items count="9">
        <item x="5"/>
        <item x="2"/>
        <item x="4"/>
        <item x="7"/>
        <item x="3"/>
        <item x="1"/>
        <item x="0"/>
        <item x="6"/>
        <item t="default"/>
      </items>
    </pivotField>
    <pivotField axis="axisRow" showAll="0">
      <items count="4">
        <item h="1" x="2"/>
        <item x="1"/>
        <item x="0"/>
        <item t="default"/>
      </items>
    </pivotField>
    <pivotField showAll="0">
      <items count="4">
        <item x="0"/>
        <item x="2"/>
        <item x="1"/>
        <item t="default"/>
      </items>
    </pivotField>
    <pivotField showAll="0">
      <items count="5">
        <item x="1"/>
        <item x="0"/>
        <item x="3"/>
        <item x="2"/>
        <item t="default"/>
      </items>
    </pivotField>
    <pivotField dataField="1" showAll="0"/>
    <pivotField numFmtId="14" showAll="0">
      <items count="9">
        <item x="0"/>
        <item x="1"/>
        <item x="2"/>
        <item x="3"/>
        <item x="4"/>
        <item x="5"/>
        <item x="6"/>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
    <i>
      <x v="1"/>
    </i>
    <i>
      <x v="2"/>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B43A2-97C2-442C-8CB8-F8898160EB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6" firstHeaderRow="1" firstDataRow="2" firstDataCol="1" rowPageCount="1" colPageCount="1"/>
  <pivotFields count="8">
    <pivotField showAll="0"/>
    <pivotField axis="axisRow" showAll="0">
      <items count="4">
        <item x="2"/>
        <item h="1" x="1"/>
        <item h="1" x="0"/>
        <item t="default"/>
      </items>
    </pivotField>
    <pivotField axis="axisCol" showAll="0">
      <items count="4">
        <item x="0"/>
        <item x="2"/>
        <item x="1"/>
        <item t="default"/>
      </items>
    </pivotField>
    <pivotField showAll="0"/>
    <pivotField dataField="1" showAll="0"/>
    <pivotField numFmtId="14" showAll="0">
      <items count="9">
        <item h="1" x="0"/>
        <item h="1" x="1"/>
        <item h="1" x="2"/>
        <item h="1" x="3"/>
        <item h="1" x="4"/>
        <item h="1" x="5"/>
        <item x="6"/>
        <item h="1" x="7"/>
        <item t="default"/>
      </items>
    </pivotField>
    <pivotField axis="axisPage"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
  </rowFields>
  <rowItems count="2">
    <i>
      <x/>
    </i>
    <i t="grand">
      <x/>
    </i>
  </rowItems>
  <colFields count="1">
    <field x="2"/>
  </colFields>
  <colItems count="2">
    <i>
      <x/>
    </i>
    <i t="grand">
      <x/>
    </i>
  </colItems>
  <pageFields count="1">
    <pageField fld="6" hier="-1"/>
  </pageFields>
  <dataFields count="1">
    <dataField name="Sum of Sale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3BB0DD2-4FAE-4F9B-90D2-C4336DAA3ED9}" sourceName="Department">
  <pivotTables>
    <pivotTable tabId="21" name="PivotTable2"/>
  </pivotTables>
  <data>
    <tabular pivotCacheId="1200139444">
      <items count="3">
        <i x="2" s="1"/>
        <i x="1"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 xr10:uid="{C34219ED-BC4E-42C6-8034-DA5BDDFF5A65}" sourceName="Sales Date">
  <pivotTables>
    <pivotTable tabId="21" name="PivotTable2"/>
  </pivotTables>
  <data>
    <tabular pivotCacheId="1200139444">
      <items count="8">
        <i x="3"/>
        <i x="6" s="1"/>
        <i x="0" nd="1"/>
        <i x="1" nd="1"/>
        <i x="2" nd="1"/>
        <i x="4" nd="1"/>
        <i x="5"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D3BDE5F-66FF-46D1-8044-10773A269D9F}" cache="Slicer_Department" caption="Department" rowHeight="241300"/>
  <slicer name="Sales Date" xr10:uid="{A218E424-8E2C-4D51-A06D-D4987ACF0F02}" cache="Slicer_Sales_Date" caption="Sale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F102EC-AA0E-4623-B07D-80CAE2464724}" name="Table5" displayName="Table5" ref="A1:C5" totalsRowShown="0" headerRowDxfId="55" dataDxfId="54">
  <autoFilter ref="A1:C5" xr:uid="{185001C6-7C53-4764-B82F-ED1411ABBC3A}"/>
  <tableColumns count="3">
    <tableColumn id="1" xr3:uid="{5F2BB7E3-2816-454F-9E92-0DE258127FC5}" name="Employee" dataDxfId="53"/>
    <tableColumn id="2" xr3:uid="{291C250F-3CB2-426E-8941-DEAD6054C6D9}" name="Department" dataDxfId="52"/>
    <tableColumn id="3" xr3:uid="{72B1A586-FEF3-4381-A778-78F09EB62E4C}" name="Sales"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BC3AB-B23A-4EB3-AF82-73F19984A598}" name="Table1" displayName="Table1" ref="A1:F9" totalsRowShown="0" headerRowDxfId="50" dataDxfId="49">
  <autoFilter ref="A1:F9" xr:uid="{DFABC3AB-B23A-4EB3-AF82-73F19984A598}"/>
  <tableColumns count="6">
    <tableColumn id="1" xr3:uid="{83C78494-E84F-47D1-9B63-AC8F24EB2ECE}" name="Employee" dataDxfId="48"/>
    <tableColumn id="2" xr3:uid="{31F16D37-ACA9-4667-9A3A-DB45E23BF0AC}" name="Department" dataDxfId="47"/>
    <tableColumn id="3" xr3:uid="{4B521AF4-CAFA-4994-BB5F-8C41594786EC}" name="Location" dataDxfId="46"/>
    <tableColumn id="4" xr3:uid="{67C58BC0-9D97-4D69-A8D6-DE52D261DD6B}" name="Product" dataDxfId="45"/>
    <tableColumn id="5" xr3:uid="{DBC1F620-20ED-448D-B187-E41ED8A52B4F}" name="Sales" dataDxfId="44"/>
    <tableColumn id="6" xr3:uid="{BEA60BD5-E59D-4476-8EBB-133E90B339B2}" name="Sales Date" dataDxf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4626FC-2998-4DDB-8515-74E55DD5D583}" name="Table2" displayName="Table2" ref="A3:E8" totalsRowCount="1" headerRowBorderDxfId="42" tableBorderDxfId="41" totalsRowBorderDxfId="40">
  <autoFilter ref="A3:E7" xr:uid="{004626FC-2998-4DDB-8515-74E55DD5D583}"/>
  <sortState xmlns:xlrd2="http://schemas.microsoft.com/office/spreadsheetml/2017/richdata2" ref="A4:E7">
    <sortCondition ref="B3:B7"/>
  </sortState>
  <tableColumns count="5">
    <tableColumn id="1" xr3:uid="{F6666350-0523-4E87-B98B-ACA8662D9DAC}" name="Column1" totalsRowLabel="Total" dataDxfId="39" totalsRowDxfId="38"/>
    <tableColumn id="2" xr3:uid="{4DF0B8AD-6BEC-4C17-99E0-89A2B34BB26B}" name="Column2" dataDxfId="37" totalsRowDxfId="36"/>
    <tableColumn id="3" xr3:uid="{B9E1328C-CB49-4B12-9D02-033930742093}" name="Column3" dataDxfId="35" totalsRowDxfId="34"/>
    <tableColumn id="4" xr3:uid="{777245AD-37E8-4867-B66F-C9EAF68BB27D}" name="Column4" totalsRowFunction="sum" dataDxfId="33" totalsRowDxfId="32"/>
    <tableColumn id="5" xr3:uid="{113DB798-01C5-46FD-9B71-73141F42B4C6}" name="Column5" totalsRowFunction="count" dataDxfId="31" totalsRowDxfId="3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40CBC1-3CCE-4EF6-A12E-4D3645256187}" name="Table3" displayName="Table3" ref="A3:F10" totalsRowShown="0" headerRowDxfId="29" dataDxfId="27" headerRowBorderDxfId="28" tableBorderDxfId="26" totalsRowBorderDxfId="25">
  <autoFilter ref="A3:F10" xr:uid="{5D40CBC1-3CCE-4EF6-A12E-4D3645256187}">
    <filterColumn colId="3">
      <filters>
        <filter val="Academic"/>
      </filters>
    </filterColumn>
  </autoFilter>
  <sortState xmlns:xlrd2="http://schemas.microsoft.com/office/spreadsheetml/2017/richdata2" ref="A4:F10">
    <sortCondition ref="E3:E10"/>
  </sortState>
  <tableColumns count="6">
    <tableColumn id="1" xr3:uid="{DF58F284-C845-47B6-AD38-8F5C816A51E5}" name="Column1" dataDxfId="24"/>
    <tableColumn id="2" xr3:uid="{4734A979-0B62-4E56-A401-76E516AFCDC5}" name="Column2" dataDxfId="23"/>
    <tableColumn id="3" xr3:uid="{7EA8C076-4169-4866-A821-4661B32DB221}" name="Column3" dataDxfId="22"/>
    <tableColumn id="4" xr3:uid="{DF14603B-D408-4D35-B9D1-5D2F52B5F45D}" name="Column4" dataDxfId="21"/>
    <tableColumn id="5" xr3:uid="{F4E90E51-A8F0-4678-A17A-5B337421B11C}" name="Column5" dataDxfId="20"/>
    <tableColumn id="6" xr3:uid="{FAD1880F-8C14-4263-AAEF-A701748407D6}" name="Column6" dataDxfId="1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9C32F3-4ABC-44FB-A4C2-8580E5BD4FB1}" name="Table35" displayName="Table35" ref="A3:F12" totalsRowCount="1" headerRowDxfId="18" dataDxfId="17">
  <autoFilter ref="A3:F11" xr:uid="{5D40CBC1-3CCE-4EF6-A12E-4D3645256187}"/>
  <tableColumns count="6">
    <tableColumn id="1" xr3:uid="{505582BB-C597-4A51-83FA-F7E5F3B4567B}" name="Column1" totalsRowLabel="Total" dataDxfId="16" totalsRowDxfId="15"/>
    <tableColumn id="2" xr3:uid="{103D2904-CBB9-4747-81BB-A2BEF3443249}" name="Column2" dataDxfId="14" totalsRowDxfId="13"/>
    <tableColumn id="3" xr3:uid="{C9BDB0AB-1ED1-47CD-9B6C-67574E57EA34}" name="Column3" dataDxfId="12" totalsRowDxfId="11"/>
    <tableColumn id="4" xr3:uid="{A7156999-D486-4EBD-B0D6-70946627F949}" name="Column4" dataDxfId="10" totalsRowDxfId="9"/>
    <tableColumn id="5" xr3:uid="{C2CFC2B5-D9D1-4FC3-992E-BB2CB6C0ECE6}" name="Column5" totalsRowFunction="average" dataDxfId="8" totalsRowDxfId="7"/>
    <tableColumn id="6" xr3:uid="{89666CA8-B251-4E03-B947-3CCEAC439862}" name="Column6" totalsRowFunction="count" dataDxfId="6" totalsRow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mailto:john@gmail.com" TargetMode="External"/><Relationship Id="rId1" Type="http://schemas.openxmlformats.org/officeDocument/2006/relationships/hyperlink" Target="mailto:john@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D256-BAB7-4B66-BABD-0E31E57E150F}">
  <dimension ref="A1:I9"/>
  <sheetViews>
    <sheetView workbookViewId="0">
      <selection activeCell="K1" sqref="K1"/>
    </sheetView>
  </sheetViews>
  <sheetFormatPr defaultRowHeight="15" x14ac:dyDescent="0.25"/>
  <sheetData>
    <row r="1" spans="1:9" x14ac:dyDescent="0.25">
      <c r="A1" t="s">
        <v>81</v>
      </c>
      <c r="B1" t="s">
        <v>82</v>
      </c>
      <c r="F1" t="s">
        <v>83</v>
      </c>
      <c r="G1" t="s">
        <v>84</v>
      </c>
      <c r="H1" t="s">
        <v>85</v>
      </c>
    </row>
    <row r="2" spans="1:9" x14ac:dyDescent="0.25">
      <c r="A2">
        <v>8</v>
      </c>
      <c r="B2">
        <v>1000</v>
      </c>
      <c r="C2">
        <f>(A2*B2)</f>
        <v>8000</v>
      </c>
      <c r="F2" t="s">
        <v>86</v>
      </c>
      <c r="G2">
        <v>1000</v>
      </c>
      <c r="H2" s="45">
        <v>0.02</v>
      </c>
      <c r="I2">
        <f>(G2*$H$2)</f>
        <v>20</v>
      </c>
    </row>
    <row r="3" spans="1:9" x14ac:dyDescent="0.25">
      <c r="A3">
        <v>9</v>
      </c>
      <c r="B3">
        <v>2000</v>
      </c>
      <c r="C3">
        <f t="shared" ref="C3:C5" si="0">(A3*B3)</f>
        <v>18000</v>
      </c>
      <c r="F3" t="s">
        <v>87</v>
      </c>
      <c r="G3">
        <v>2000</v>
      </c>
      <c r="H3" s="45"/>
    </row>
    <row r="4" spans="1:9" x14ac:dyDescent="0.25">
      <c r="A4">
        <v>6</v>
      </c>
      <c r="B4">
        <v>1500</v>
      </c>
      <c r="C4">
        <f t="shared" si="0"/>
        <v>9000</v>
      </c>
      <c r="F4" t="s">
        <v>88</v>
      </c>
      <c r="G4">
        <v>3000</v>
      </c>
      <c r="H4" s="45"/>
    </row>
    <row r="5" spans="1:9" x14ac:dyDescent="0.25">
      <c r="A5">
        <v>7</v>
      </c>
      <c r="B5">
        <v>3000</v>
      </c>
      <c r="C5">
        <f t="shared" si="0"/>
        <v>21000</v>
      </c>
    </row>
    <row r="6" spans="1:9" x14ac:dyDescent="0.25">
      <c r="B6">
        <f>SUM(B2:B5)</f>
        <v>7500</v>
      </c>
    </row>
    <row r="7" spans="1:9" x14ac:dyDescent="0.25">
      <c r="B7">
        <f>(B6/4)</f>
        <v>1875</v>
      </c>
    </row>
    <row r="8" spans="1:9" x14ac:dyDescent="0.25">
      <c r="B8">
        <v>5249.652</v>
      </c>
    </row>
    <row r="9" spans="1:9" x14ac:dyDescent="0.25">
      <c r="B9">
        <f>ROUND(B8,2)</f>
        <v>5249.65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B1107-1841-4C61-86B8-2DFF5571A1D0}">
  <dimension ref="A1:G4"/>
  <sheetViews>
    <sheetView zoomScale="189" zoomScaleNormal="190" workbookViewId="0">
      <selection activeCell="G5" sqref="G5"/>
    </sheetView>
  </sheetViews>
  <sheetFormatPr defaultRowHeight="15" x14ac:dyDescent="0.25"/>
  <cols>
    <col min="6" max="6" width="11.7109375" customWidth="1"/>
    <col min="7" max="7" width="10" customWidth="1"/>
  </cols>
  <sheetData>
    <row r="1" spans="1:7" x14ac:dyDescent="0.25">
      <c r="A1" t="s">
        <v>89</v>
      </c>
      <c r="B1" t="s">
        <v>90</v>
      </c>
      <c r="C1" t="s">
        <v>94</v>
      </c>
      <c r="D1" t="s">
        <v>95</v>
      </c>
      <c r="F1" t="s">
        <v>97</v>
      </c>
      <c r="G1" t="s">
        <v>98</v>
      </c>
    </row>
    <row r="2" spans="1:7" x14ac:dyDescent="0.25">
      <c r="A2" t="s">
        <v>91</v>
      </c>
      <c r="B2">
        <v>85</v>
      </c>
      <c r="C2" t="str">
        <f>IF(B2&gt;=40, "Pass","fail")</f>
        <v>Pass</v>
      </c>
      <c r="D2" t="str">
        <f>IF(B2&gt;=90,"A",IF(B2&gt;=75,"B",IF(B2&gt;=60,"C","F")))</f>
        <v>B</v>
      </c>
      <c r="E2" t="s">
        <v>96</v>
      </c>
      <c r="F2" t="b">
        <f>AND(B2&gt;=40,E2="Present")</f>
        <v>1</v>
      </c>
      <c r="G2" t="b">
        <f>OR(B2&gt;=40,C2="Pass")</f>
        <v>1</v>
      </c>
    </row>
    <row r="3" spans="1:7" x14ac:dyDescent="0.25">
      <c r="A3" t="s">
        <v>92</v>
      </c>
      <c r="B3">
        <v>35</v>
      </c>
      <c r="C3" t="str">
        <f t="shared" ref="C3:C4" si="0">IF(B3&gt;=40, "Pass","fail")</f>
        <v>fail</v>
      </c>
      <c r="D3" t="str">
        <f t="shared" ref="D3:D4" si="1">IF(B3&gt;=90,"A",IF(B3&gt;=75,"B",IF(B3&gt;=60,"C","F")))</f>
        <v>F</v>
      </c>
      <c r="F3" t="b">
        <f t="shared" ref="F3:F4" si="2">AND(B3&gt;=40,E3="Present")</f>
        <v>0</v>
      </c>
      <c r="G3" t="b">
        <f t="shared" ref="G3:G4" si="3">OR(B3&gt;=40,C3="Pass")</f>
        <v>0</v>
      </c>
    </row>
    <row r="4" spans="1:7" x14ac:dyDescent="0.25">
      <c r="A4" t="s">
        <v>93</v>
      </c>
      <c r="B4">
        <v>72</v>
      </c>
      <c r="C4" t="str">
        <f t="shared" si="0"/>
        <v>Pass</v>
      </c>
      <c r="D4" t="str">
        <f t="shared" si="1"/>
        <v>C</v>
      </c>
      <c r="E4" t="s">
        <v>96</v>
      </c>
      <c r="F4" t="b">
        <f t="shared" si="2"/>
        <v>1</v>
      </c>
      <c r="G4" t="b">
        <f t="shared" si="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1C6-7C53-4764-B82F-ED1411ABBC3A}">
  <dimension ref="A1:C5"/>
  <sheetViews>
    <sheetView workbookViewId="0">
      <selection activeCell="D2" sqref="D2"/>
    </sheetView>
  </sheetViews>
  <sheetFormatPr defaultRowHeight="15" x14ac:dyDescent="0.25"/>
  <cols>
    <col min="1" max="2" width="18.42578125" style="23" customWidth="1"/>
    <col min="3" max="3" width="15.140625" style="23" customWidth="1"/>
    <col min="4" max="16384" width="9.140625" style="23"/>
  </cols>
  <sheetData>
    <row r="1" spans="1:3" ht="21" x14ac:dyDescent="0.35">
      <c r="A1" s="46" t="s">
        <v>99</v>
      </c>
      <c r="B1" s="46" t="s">
        <v>3</v>
      </c>
      <c r="C1" s="46" t="s">
        <v>100</v>
      </c>
    </row>
    <row r="2" spans="1:3" x14ac:dyDescent="0.25">
      <c r="A2" s="23" t="s">
        <v>101</v>
      </c>
      <c r="B2" s="23" t="s">
        <v>100</v>
      </c>
      <c r="C2" s="23">
        <v>50000</v>
      </c>
    </row>
    <row r="3" spans="1:3" x14ac:dyDescent="0.25">
      <c r="A3" s="23" t="s">
        <v>102</v>
      </c>
      <c r="B3" s="23" t="s">
        <v>105</v>
      </c>
      <c r="C3" s="23">
        <v>30000</v>
      </c>
    </row>
    <row r="4" spans="1:3" x14ac:dyDescent="0.25">
      <c r="A4" s="23" t="s">
        <v>103</v>
      </c>
      <c r="B4" s="23" t="s">
        <v>100</v>
      </c>
      <c r="C4" s="23">
        <v>75000</v>
      </c>
    </row>
    <row r="5" spans="1:3" x14ac:dyDescent="0.25">
      <c r="A5" s="23" t="s">
        <v>104</v>
      </c>
      <c r="B5" s="23" t="s">
        <v>17</v>
      </c>
      <c r="C5" s="47">
        <v>45000</v>
      </c>
    </row>
  </sheetData>
  <pageMargins left="0.7" right="0.7" top="0.75" bottom="0.75" header="0.3" footer="0.3"/>
  <pageSetup paperSize="9" orientation="portrait" horizontalDpi="30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0126-B06C-4DAA-8885-DFAF758F3FA6}">
  <dimension ref="A1:G21"/>
  <sheetViews>
    <sheetView workbookViewId="0">
      <selection activeCell="G24" sqref="G24"/>
    </sheetView>
  </sheetViews>
  <sheetFormatPr defaultRowHeight="15" x14ac:dyDescent="0.25"/>
  <cols>
    <col min="1" max="4" width="25.85546875" style="49" customWidth="1"/>
    <col min="5" max="5" width="14.7109375" style="49" customWidth="1"/>
    <col min="6" max="6" width="32.42578125" style="49" customWidth="1"/>
    <col min="7" max="7" width="22.28515625" style="49" customWidth="1"/>
    <col min="8" max="16384" width="9.140625" style="49"/>
  </cols>
  <sheetData>
    <row r="1" spans="1:7" x14ac:dyDescent="0.25">
      <c r="A1" s="48" t="s">
        <v>106</v>
      </c>
      <c r="B1" s="48" t="s">
        <v>107</v>
      </c>
      <c r="C1" s="48" t="s">
        <v>108</v>
      </c>
      <c r="D1" s="48" t="s">
        <v>109</v>
      </c>
      <c r="E1" s="51" t="s">
        <v>133</v>
      </c>
      <c r="F1" s="51" t="s">
        <v>154</v>
      </c>
      <c r="G1" s="51" t="s">
        <v>155</v>
      </c>
    </row>
    <row r="2" spans="1:7" x14ac:dyDescent="0.25">
      <c r="A2" s="50" t="s">
        <v>110</v>
      </c>
      <c r="B2" s="50" t="s">
        <v>111</v>
      </c>
      <c r="C2" s="50">
        <v>28</v>
      </c>
      <c r="D2" s="50">
        <v>55000</v>
      </c>
      <c r="E2" s="49" t="s">
        <v>134</v>
      </c>
      <c r="F2" s="52" t="str">
        <f>G2&amp;"@gmail.com"</f>
        <v>john@gmail.com</v>
      </c>
      <c r="G2" s="49" t="s">
        <v>156</v>
      </c>
    </row>
    <row r="3" spans="1:7" x14ac:dyDescent="0.25">
      <c r="A3" s="50" t="s">
        <v>112</v>
      </c>
      <c r="B3" s="50" t="s">
        <v>111</v>
      </c>
      <c r="C3" s="50">
        <v>31</v>
      </c>
      <c r="D3" s="50">
        <v>62000</v>
      </c>
      <c r="E3" s="49" t="s">
        <v>135</v>
      </c>
      <c r="F3" s="52" t="str">
        <f t="shared" ref="F3:F21" si="0">G3&amp;"@gmail.com"</f>
        <v>emma@gmail.com</v>
      </c>
      <c r="G3" s="49" t="s">
        <v>157</v>
      </c>
    </row>
    <row r="4" spans="1:7" x14ac:dyDescent="0.25">
      <c r="A4" s="50" t="s">
        <v>114</v>
      </c>
      <c r="B4" s="50" t="s">
        <v>113</v>
      </c>
      <c r="C4" s="50">
        <v>41</v>
      </c>
      <c r="D4" s="50">
        <v>78000</v>
      </c>
      <c r="E4" s="49" t="s">
        <v>136</v>
      </c>
      <c r="F4" s="52" t="str">
        <f t="shared" si="0"/>
        <v>michael@gmail.com</v>
      </c>
      <c r="G4" s="49" t="s">
        <v>158</v>
      </c>
    </row>
    <row r="5" spans="1:7" x14ac:dyDescent="0.25">
      <c r="A5" s="50" t="s">
        <v>116</v>
      </c>
      <c r="B5" s="50" t="s">
        <v>113</v>
      </c>
      <c r="C5" s="50">
        <v>26</v>
      </c>
      <c r="D5" s="50">
        <v>51000</v>
      </c>
      <c r="E5" s="49" t="s">
        <v>137</v>
      </c>
      <c r="F5" s="52" t="str">
        <f t="shared" si="0"/>
        <v>sophia@gmail.com</v>
      </c>
      <c r="G5" s="49" t="s">
        <v>159</v>
      </c>
    </row>
    <row r="6" spans="1:7" x14ac:dyDescent="0.25">
      <c r="A6" s="50" t="s">
        <v>117</v>
      </c>
      <c r="B6" s="50" t="s">
        <v>111</v>
      </c>
      <c r="C6" s="50">
        <v>35</v>
      </c>
      <c r="D6" s="50">
        <v>69000</v>
      </c>
      <c r="E6" s="49" t="s">
        <v>138</v>
      </c>
      <c r="F6" s="52" t="str">
        <f t="shared" si="0"/>
        <v>daniel@gmail.com</v>
      </c>
      <c r="G6" s="49" t="s">
        <v>160</v>
      </c>
    </row>
    <row r="7" spans="1:7" x14ac:dyDescent="0.25">
      <c r="A7" s="50" t="s">
        <v>118</v>
      </c>
      <c r="B7" s="50" t="s">
        <v>115</v>
      </c>
      <c r="C7" s="50">
        <v>30</v>
      </c>
      <c r="D7" s="50">
        <v>59000</v>
      </c>
      <c r="E7" s="49" t="s">
        <v>139</v>
      </c>
      <c r="F7" s="52" t="str">
        <f t="shared" si="0"/>
        <v>olivia@gmail.com</v>
      </c>
      <c r="G7" s="49" t="s">
        <v>161</v>
      </c>
    </row>
    <row r="8" spans="1:7" x14ac:dyDescent="0.25">
      <c r="A8" s="50" t="s">
        <v>119</v>
      </c>
      <c r="B8" s="50" t="s">
        <v>115</v>
      </c>
      <c r="C8" s="50">
        <v>45</v>
      </c>
      <c r="D8" s="50">
        <v>85000</v>
      </c>
      <c r="E8" s="49" t="s">
        <v>140</v>
      </c>
      <c r="F8" s="52" t="str">
        <f t="shared" si="0"/>
        <v>james@gmail.com</v>
      </c>
      <c r="G8" s="49" t="s">
        <v>162</v>
      </c>
    </row>
    <row r="9" spans="1:7" x14ac:dyDescent="0.25">
      <c r="A9" s="50" t="s">
        <v>120</v>
      </c>
      <c r="B9" s="50" t="s">
        <v>113</v>
      </c>
      <c r="C9" s="50">
        <v>27</v>
      </c>
      <c r="D9" s="50">
        <v>54000</v>
      </c>
      <c r="E9" s="49" t="s">
        <v>141</v>
      </c>
      <c r="F9" s="52" t="str">
        <f t="shared" si="0"/>
        <v>ava@gmail.com</v>
      </c>
      <c r="G9" s="49" t="s">
        <v>163</v>
      </c>
    </row>
    <row r="10" spans="1:7" x14ac:dyDescent="0.25">
      <c r="A10" s="50" t="s">
        <v>121</v>
      </c>
      <c r="B10" s="50" t="s">
        <v>111</v>
      </c>
      <c r="C10" s="50">
        <v>38</v>
      </c>
      <c r="D10" s="50">
        <v>72000</v>
      </c>
      <c r="E10" s="49" t="s">
        <v>142</v>
      </c>
      <c r="F10" s="52" t="str">
        <f t="shared" si="0"/>
        <v>william@gmail.com</v>
      </c>
      <c r="G10" s="49" t="s">
        <v>164</v>
      </c>
    </row>
    <row r="11" spans="1:7" x14ac:dyDescent="0.25">
      <c r="A11" s="50" t="s">
        <v>122</v>
      </c>
      <c r="B11" s="50" t="s">
        <v>115</v>
      </c>
      <c r="C11" s="50">
        <v>33</v>
      </c>
      <c r="D11" s="50">
        <v>65000</v>
      </c>
      <c r="E11" s="49" t="s">
        <v>143</v>
      </c>
      <c r="F11" s="52" t="str">
        <f t="shared" si="0"/>
        <v>isabella@gmail.com</v>
      </c>
      <c r="G11" s="49" t="s">
        <v>165</v>
      </c>
    </row>
    <row r="12" spans="1:7" x14ac:dyDescent="0.25">
      <c r="A12" s="49" t="s">
        <v>123</v>
      </c>
      <c r="B12" s="49" t="s">
        <v>113</v>
      </c>
      <c r="C12" s="49">
        <v>29</v>
      </c>
      <c r="D12" s="49">
        <v>57000</v>
      </c>
      <c r="E12" s="49" t="s">
        <v>144</v>
      </c>
      <c r="F12" s="52" t="str">
        <f t="shared" si="0"/>
        <v>noah@gmail.com</v>
      </c>
      <c r="G12" s="49" t="s">
        <v>166</v>
      </c>
    </row>
    <row r="13" spans="1:7" x14ac:dyDescent="0.25">
      <c r="A13" s="49" t="s">
        <v>124</v>
      </c>
      <c r="B13" s="49" t="s">
        <v>111</v>
      </c>
      <c r="C13" s="49">
        <v>42</v>
      </c>
      <c r="D13" s="49">
        <v>88000</v>
      </c>
      <c r="E13" s="49" t="s">
        <v>145</v>
      </c>
      <c r="F13" s="52" t="str">
        <f t="shared" si="0"/>
        <v>mia@gmail.com</v>
      </c>
      <c r="G13" s="49" t="s">
        <v>167</v>
      </c>
    </row>
    <row r="14" spans="1:7" x14ac:dyDescent="0.25">
      <c r="A14" s="49" t="s">
        <v>125</v>
      </c>
      <c r="B14" s="49" t="s">
        <v>115</v>
      </c>
      <c r="C14" s="49">
        <v>36</v>
      </c>
      <c r="D14" s="49">
        <v>71000</v>
      </c>
      <c r="E14" s="49" t="s">
        <v>146</v>
      </c>
      <c r="F14" s="52" t="str">
        <f t="shared" si="0"/>
        <v>ethan@gmail.com</v>
      </c>
      <c r="G14" s="49" t="s">
        <v>168</v>
      </c>
    </row>
    <row r="15" spans="1:7" x14ac:dyDescent="0.25">
      <c r="A15" s="49" t="s">
        <v>126</v>
      </c>
      <c r="B15" s="49" t="s">
        <v>113</v>
      </c>
      <c r="C15" s="49">
        <v>34</v>
      </c>
      <c r="D15" s="49">
        <v>68000</v>
      </c>
      <c r="E15" s="49" t="s">
        <v>147</v>
      </c>
      <c r="F15" s="52" t="str">
        <f t="shared" si="0"/>
        <v>charlotte@gmail.com</v>
      </c>
      <c r="G15" s="49" t="s">
        <v>169</v>
      </c>
    </row>
    <row r="16" spans="1:7" x14ac:dyDescent="0.25">
      <c r="A16" s="49" t="s">
        <v>127</v>
      </c>
      <c r="B16" s="49" t="s">
        <v>111</v>
      </c>
      <c r="C16" s="49">
        <v>25</v>
      </c>
      <c r="D16" s="49">
        <v>48000</v>
      </c>
      <c r="E16" s="49" t="s">
        <v>148</v>
      </c>
      <c r="F16" s="52" t="str">
        <f t="shared" si="0"/>
        <v>lucas@gmail.com</v>
      </c>
      <c r="G16" s="49" t="s">
        <v>170</v>
      </c>
    </row>
    <row r="17" spans="1:7" x14ac:dyDescent="0.25">
      <c r="A17" s="49" t="s">
        <v>128</v>
      </c>
      <c r="B17" s="49" t="s">
        <v>115</v>
      </c>
      <c r="C17" s="49">
        <v>28</v>
      </c>
      <c r="D17" s="49">
        <v>56000</v>
      </c>
      <c r="E17" s="49" t="s">
        <v>149</v>
      </c>
      <c r="F17" s="52" t="str">
        <f t="shared" si="0"/>
        <v>amelia@gmail.com</v>
      </c>
      <c r="G17" s="49" t="s">
        <v>171</v>
      </c>
    </row>
    <row r="18" spans="1:7" x14ac:dyDescent="0.25">
      <c r="A18" s="49" t="s">
        <v>129</v>
      </c>
      <c r="B18" s="49" t="s">
        <v>113</v>
      </c>
      <c r="C18" s="49">
        <v>39</v>
      </c>
      <c r="D18" s="49">
        <v>75000</v>
      </c>
      <c r="E18" s="49" t="s">
        <v>150</v>
      </c>
      <c r="F18" s="52" t="str">
        <f t="shared" si="0"/>
        <v>henry@gmail.com</v>
      </c>
      <c r="G18" s="49" t="s">
        <v>172</v>
      </c>
    </row>
    <row r="19" spans="1:7" x14ac:dyDescent="0.25">
      <c r="A19" s="49" t="s">
        <v>130</v>
      </c>
      <c r="B19" s="49" t="s">
        <v>111</v>
      </c>
      <c r="C19" s="49">
        <v>32</v>
      </c>
      <c r="D19" s="49">
        <v>64000</v>
      </c>
      <c r="E19" s="49" t="s">
        <v>151</v>
      </c>
      <c r="F19" s="52" t="str">
        <f t="shared" si="0"/>
        <v>harper@gmail.com</v>
      </c>
      <c r="G19" s="49" t="s">
        <v>173</v>
      </c>
    </row>
    <row r="20" spans="1:7" x14ac:dyDescent="0.25">
      <c r="A20" s="49" t="s">
        <v>131</v>
      </c>
      <c r="B20" s="49" t="s">
        <v>115</v>
      </c>
      <c r="C20" s="49">
        <v>44</v>
      </c>
      <c r="D20" s="49">
        <v>82000</v>
      </c>
      <c r="E20" s="49" t="s">
        <v>152</v>
      </c>
      <c r="F20" s="52" t="str">
        <f t="shared" si="0"/>
        <v>alexander@gmail.com</v>
      </c>
      <c r="G20" s="49" t="s">
        <v>174</v>
      </c>
    </row>
    <row r="21" spans="1:7" x14ac:dyDescent="0.25">
      <c r="A21" s="49" t="s">
        <v>132</v>
      </c>
      <c r="B21" s="49" t="s">
        <v>113</v>
      </c>
      <c r="C21" s="49">
        <v>31</v>
      </c>
      <c r="D21" s="49">
        <v>61000</v>
      </c>
      <c r="E21" s="49" t="s">
        <v>153</v>
      </c>
      <c r="F21" s="52" t="str">
        <f t="shared" si="0"/>
        <v>evelyn@gmail.com</v>
      </c>
      <c r="G21" s="49" t="s">
        <v>175</v>
      </c>
    </row>
  </sheetData>
  <hyperlinks>
    <hyperlink ref="F2" r:id="rId1" display="john@gmail.com" xr:uid="{DC237DF4-77B2-4ACB-BE16-58169E299485}"/>
    <hyperlink ref="F3:F21" r:id="rId2" display="john@gmail.com" xr:uid="{D1B698A9-22FB-48E1-8FDB-5215133819C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D079-A015-4842-B123-522AD210C7D9}">
  <dimension ref="A2:K39"/>
  <sheetViews>
    <sheetView topLeftCell="A15" workbookViewId="0">
      <selection activeCell="G19" sqref="G19"/>
    </sheetView>
  </sheetViews>
  <sheetFormatPr defaultRowHeight="15" x14ac:dyDescent="0.25"/>
  <cols>
    <col min="1" max="8" width="19.5703125" style="53" customWidth="1"/>
    <col min="9" max="9" width="18.5703125" style="53" customWidth="1"/>
    <col min="10" max="10" width="17" style="53" customWidth="1"/>
    <col min="11" max="11" width="24.140625" style="53" customWidth="1"/>
    <col min="12" max="16384" width="9.140625" style="53"/>
  </cols>
  <sheetData>
    <row r="2" spans="1:8" x14ac:dyDescent="0.25">
      <c r="F2" s="56" t="s">
        <v>240</v>
      </c>
    </row>
    <row r="3" spans="1:8" x14ac:dyDescent="0.25">
      <c r="F3" s="53" t="s">
        <v>229</v>
      </c>
      <c r="G3" s="53" t="s">
        <v>230</v>
      </c>
      <c r="H3" s="53" t="s">
        <v>232</v>
      </c>
    </row>
    <row r="4" spans="1:8" x14ac:dyDescent="0.25">
      <c r="A4" s="54" t="s">
        <v>176</v>
      </c>
      <c r="B4" s="54" t="s">
        <v>177</v>
      </c>
      <c r="C4" s="54" t="s">
        <v>3</v>
      </c>
      <c r="D4" s="54" t="s">
        <v>4</v>
      </c>
      <c r="E4" s="54" t="s">
        <v>178</v>
      </c>
      <c r="F4" t="s">
        <v>192</v>
      </c>
      <c r="G4" s="53" t="str">
        <f>VLOOKUP(F4,A5:E24,2,FALSE)</f>
        <v>Vikram Singh</v>
      </c>
      <c r="H4" s="53" t="str">
        <f>VLOOKUP(F5, A5:E24, 3, FALSE)</f>
        <v>Marketing</v>
      </c>
    </row>
    <row r="5" spans="1:8" x14ac:dyDescent="0.25">
      <c r="A5" s="55" t="s">
        <v>179</v>
      </c>
      <c r="B5" s="55" t="s">
        <v>180</v>
      </c>
      <c r="C5" s="55" t="s">
        <v>14</v>
      </c>
      <c r="D5" s="55">
        <v>65000</v>
      </c>
      <c r="E5" s="55" t="s">
        <v>181</v>
      </c>
      <c r="F5" s="53" t="s">
        <v>188</v>
      </c>
    </row>
    <row r="6" spans="1:8" x14ac:dyDescent="0.25">
      <c r="A6" s="55" t="s">
        <v>182</v>
      </c>
      <c r="B6" s="55" t="s">
        <v>183</v>
      </c>
      <c r="C6" s="55" t="s">
        <v>105</v>
      </c>
      <c r="D6" s="55">
        <v>52000</v>
      </c>
      <c r="E6" s="55" t="s">
        <v>184</v>
      </c>
    </row>
    <row r="7" spans="1:8" x14ac:dyDescent="0.25">
      <c r="A7" s="55" t="s">
        <v>185</v>
      </c>
      <c r="B7" s="55" t="s">
        <v>186</v>
      </c>
      <c r="C7" s="55" t="s">
        <v>17</v>
      </c>
      <c r="D7" s="55">
        <v>58000</v>
      </c>
      <c r="E7" s="55" t="s">
        <v>187</v>
      </c>
    </row>
    <row r="8" spans="1:8" x14ac:dyDescent="0.25">
      <c r="A8" s="55" t="s">
        <v>188</v>
      </c>
      <c r="B8" s="55" t="s">
        <v>189</v>
      </c>
      <c r="C8" s="55" t="s">
        <v>190</v>
      </c>
      <c r="D8" s="55">
        <v>55000</v>
      </c>
      <c r="E8" s="55" t="s">
        <v>191</v>
      </c>
      <c r="F8" s="56" t="s">
        <v>241</v>
      </c>
    </row>
    <row r="9" spans="1:8" x14ac:dyDescent="0.25">
      <c r="A9" s="55" t="s">
        <v>192</v>
      </c>
      <c r="B9" s="55" t="s">
        <v>193</v>
      </c>
      <c r="C9" s="55" t="s">
        <v>14</v>
      </c>
      <c r="D9" s="55">
        <v>72000</v>
      </c>
      <c r="E9" s="55" t="s">
        <v>194</v>
      </c>
      <c r="G9" s="53">
        <f>MATCH("EMP006",A5:A24,0)</f>
        <v>6</v>
      </c>
    </row>
    <row r="10" spans="1:8" x14ac:dyDescent="0.25">
      <c r="A10" s="55" t="s">
        <v>195</v>
      </c>
      <c r="B10" s="55" t="s">
        <v>196</v>
      </c>
      <c r="C10" s="55" t="s">
        <v>100</v>
      </c>
      <c r="D10" s="55">
        <v>48000</v>
      </c>
      <c r="E10" s="55" t="s">
        <v>197</v>
      </c>
    </row>
    <row r="11" spans="1:8" x14ac:dyDescent="0.25">
      <c r="A11" s="55" t="s">
        <v>198</v>
      </c>
      <c r="B11" s="55" t="s">
        <v>199</v>
      </c>
      <c r="C11" s="55" t="s">
        <v>17</v>
      </c>
      <c r="D11" s="55">
        <v>61000</v>
      </c>
      <c r="E11" s="55" t="s">
        <v>181</v>
      </c>
    </row>
    <row r="12" spans="1:8" x14ac:dyDescent="0.25">
      <c r="A12" s="55" t="s">
        <v>200</v>
      </c>
      <c r="B12" s="55" t="s">
        <v>201</v>
      </c>
      <c r="C12" s="55" t="s">
        <v>105</v>
      </c>
      <c r="D12" s="55">
        <v>50000</v>
      </c>
      <c r="E12" s="55" t="s">
        <v>194</v>
      </c>
      <c r="F12" s="56" t="s">
        <v>244</v>
      </c>
    </row>
    <row r="13" spans="1:8" x14ac:dyDescent="0.25">
      <c r="A13" s="55" t="s">
        <v>202</v>
      </c>
      <c r="B13" s="55" t="s">
        <v>203</v>
      </c>
      <c r="C13" s="55" t="s">
        <v>14</v>
      </c>
      <c r="D13" s="55">
        <v>78000</v>
      </c>
      <c r="E13" s="55" t="s">
        <v>184</v>
      </c>
      <c r="G13" s="53" t="str">
        <f>IFERROR(VLOOKUP(F6,A5:E24,2,FALSE),"Not Found")</f>
        <v>Not Found</v>
      </c>
    </row>
    <row r="14" spans="1:8" x14ac:dyDescent="0.25">
      <c r="A14" s="55" t="s">
        <v>204</v>
      </c>
      <c r="B14" s="55" t="s">
        <v>205</v>
      </c>
      <c r="C14" s="55" t="s">
        <v>190</v>
      </c>
      <c r="D14" s="55">
        <v>57000</v>
      </c>
      <c r="E14" s="55" t="s">
        <v>206</v>
      </c>
    </row>
    <row r="15" spans="1:8" x14ac:dyDescent="0.25">
      <c r="A15" s="55" t="s">
        <v>207</v>
      </c>
      <c r="B15" s="55" t="s">
        <v>208</v>
      </c>
      <c r="C15" s="55" t="s">
        <v>100</v>
      </c>
      <c r="D15" s="55">
        <v>46000</v>
      </c>
      <c r="E15" s="55" t="s">
        <v>209</v>
      </c>
    </row>
    <row r="16" spans="1:8" x14ac:dyDescent="0.25">
      <c r="A16" s="55" t="s">
        <v>210</v>
      </c>
      <c r="B16" s="55" t="s">
        <v>211</v>
      </c>
      <c r="C16" s="55" t="s">
        <v>14</v>
      </c>
      <c r="D16" s="55">
        <v>69000</v>
      </c>
      <c r="E16" s="55" t="s">
        <v>197</v>
      </c>
    </row>
    <row r="17" spans="1:10" x14ac:dyDescent="0.25">
      <c r="A17" s="55" t="s">
        <v>212</v>
      </c>
      <c r="B17" s="55" t="s">
        <v>213</v>
      </c>
      <c r="C17" s="55" t="s">
        <v>17</v>
      </c>
      <c r="D17" s="55">
        <v>63000</v>
      </c>
      <c r="E17" s="55" t="s">
        <v>187</v>
      </c>
      <c r="H17" s="56" t="s">
        <v>236</v>
      </c>
      <c r="I17" s="53" t="s">
        <v>237</v>
      </c>
      <c r="J17" s="53" t="s">
        <v>232</v>
      </c>
    </row>
    <row r="18" spans="1:10" x14ac:dyDescent="0.25">
      <c r="A18" s="55" t="s">
        <v>214</v>
      </c>
      <c r="B18" s="55" t="s">
        <v>215</v>
      </c>
      <c r="C18" s="55" t="s">
        <v>105</v>
      </c>
      <c r="D18" s="55">
        <v>54000</v>
      </c>
      <c r="E18" s="55" t="s">
        <v>181</v>
      </c>
      <c r="H18" s="53" t="s">
        <v>195</v>
      </c>
      <c r="I18" s="53" t="str">
        <f>HLOOKUP(H18, A35:K39, 3, FALSE)</f>
        <v>Sales</v>
      </c>
    </row>
    <row r="19" spans="1:10" x14ac:dyDescent="0.25">
      <c r="A19" s="55" t="s">
        <v>216</v>
      </c>
      <c r="B19" s="55" t="s">
        <v>217</v>
      </c>
      <c r="C19" s="55" t="s">
        <v>100</v>
      </c>
      <c r="D19" s="55">
        <v>51000</v>
      </c>
      <c r="E19" s="55" t="s">
        <v>191</v>
      </c>
    </row>
    <row r="20" spans="1:10" x14ac:dyDescent="0.25">
      <c r="A20" s="55" t="s">
        <v>218</v>
      </c>
      <c r="B20" s="55" t="s">
        <v>219</v>
      </c>
      <c r="C20" s="55" t="s">
        <v>190</v>
      </c>
      <c r="D20" s="55">
        <v>59000</v>
      </c>
      <c r="E20" s="55" t="s">
        <v>220</v>
      </c>
    </row>
    <row r="21" spans="1:10" x14ac:dyDescent="0.25">
      <c r="A21" s="55" t="s">
        <v>221</v>
      </c>
      <c r="B21" s="55" t="s">
        <v>222</v>
      </c>
      <c r="C21" s="55" t="s">
        <v>14</v>
      </c>
      <c r="D21" s="55">
        <v>75000</v>
      </c>
      <c r="E21" s="55" t="s">
        <v>194</v>
      </c>
    </row>
    <row r="22" spans="1:10" x14ac:dyDescent="0.25">
      <c r="A22" s="55" t="s">
        <v>223</v>
      </c>
      <c r="B22" s="55" t="s">
        <v>224</v>
      </c>
      <c r="C22" s="55" t="s">
        <v>17</v>
      </c>
      <c r="D22" s="55">
        <v>62000</v>
      </c>
      <c r="E22" s="55" t="s">
        <v>184</v>
      </c>
    </row>
    <row r="23" spans="1:10" x14ac:dyDescent="0.25">
      <c r="A23" s="55" t="s">
        <v>225</v>
      </c>
      <c r="B23" s="55" t="s">
        <v>226</v>
      </c>
      <c r="C23" s="55" t="s">
        <v>100</v>
      </c>
      <c r="D23" s="55">
        <v>49000</v>
      </c>
      <c r="E23" s="55" t="s">
        <v>181</v>
      </c>
    </row>
    <row r="24" spans="1:10" x14ac:dyDescent="0.25">
      <c r="A24" s="55" t="s">
        <v>227</v>
      </c>
      <c r="B24" s="55" t="s">
        <v>228</v>
      </c>
      <c r="C24" s="55" t="s">
        <v>105</v>
      </c>
      <c r="D24" s="55">
        <v>56000</v>
      </c>
      <c r="E24" s="55" t="s">
        <v>197</v>
      </c>
    </row>
    <row r="26" spans="1:10" x14ac:dyDescent="0.25">
      <c r="C26" s="53" t="s">
        <v>233</v>
      </c>
      <c r="D26" s="53" t="s">
        <v>231</v>
      </c>
    </row>
    <row r="28" spans="1:10" x14ac:dyDescent="0.25">
      <c r="C28" s="53" t="s">
        <v>234</v>
      </c>
      <c r="D28" s="53" t="s">
        <v>235</v>
      </c>
    </row>
    <row r="30" spans="1:10" x14ac:dyDescent="0.25">
      <c r="C30" s="53" t="s">
        <v>238</v>
      </c>
      <c r="D30" s="53" t="s">
        <v>239</v>
      </c>
    </row>
    <row r="32" spans="1:10" x14ac:dyDescent="0.25">
      <c r="C32" s="53" t="s">
        <v>242</v>
      </c>
      <c r="D32" s="53" t="s">
        <v>243</v>
      </c>
    </row>
    <row r="35" spans="1:11" x14ac:dyDescent="0.25">
      <c r="A35" s="54"/>
      <c r="B35" s="54" t="s">
        <v>179</v>
      </c>
      <c r="C35" s="54" t="s">
        <v>182</v>
      </c>
      <c r="D35" s="54" t="s">
        <v>185</v>
      </c>
      <c r="E35" s="54" t="s">
        <v>188</v>
      </c>
      <c r="F35" s="54" t="s">
        <v>192</v>
      </c>
      <c r="G35" s="54" t="s">
        <v>195</v>
      </c>
      <c r="H35" s="54" t="s">
        <v>198</v>
      </c>
      <c r="I35" s="54" t="s">
        <v>200</v>
      </c>
      <c r="J35" s="54" t="s">
        <v>202</v>
      </c>
      <c r="K35" s="54" t="s">
        <v>204</v>
      </c>
    </row>
    <row r="36" spans="1:11" ht="30" x14ac:dyDescent="0.25">
      <c r="A36" s="54" t="s">
        <v>2</v>
      </c>
      <c r="B36" s="55" t="s">
        <v>180</v>
      </c>
      <c r="C36" s="55" t="s">
        <v>183</v>
      </c>
      <c r="D36" s="55" t="s">
        <v>186</v>
      </c>
      <c r="E36" s="55" t="s">
        <v>189</v>
      </c>
      <c r="F36" s="55" t="s">
        <v>193</v>
      </c>
      <c r="G36" s="55" t="s">
        <v>196</v>
      </c>
      <c r="H36" s="55" t="s">
        <v>199</v>
      </c>
      <c r="I36" s="55" t="s">
        <v>201</v>
      </c>
      <c r="J36" s="55" t="s">
        <v>203</v>
      </c>
      <c r="K36" s="55" t="s">
        <v>205</v>
      </c>
    </row>
    <row r="37" spans="1:11" ht="30" x14ac:dyDescent="0.25">
      <c r="A37" s="54" t="s">
        <v>3</v>
      </c>
      <c r="B37" s="55" t="s">
        <v>14</v>
      </c>
      <c r="C37" s="55" t="s">
        <v>105</v>
      </c>
      <c r="D37" s="55" t="s">
        <v>17</v>
      </c>
      <c r="E37" s="55" t="s">
        <v>190</v>
      </c>
      <c r="F37" s="55" t="s">
        <v>14</v>
      </c>
      <c r="G37" s="55" t="s">
        <v>100</v>
      </c>
      <c r="H37" s="55" t="s">
        <v>17</v>
      </c>
      <c r="I37" s="55" t="s">
        <v>105</v>
      </c>
      <c r="J37" s="55" t="s">
        <v>14</v>
      </c>
      <c r="K37" s="55" t="s">
        <v>190</v>
      </c>
    </row>
    <row r="38" spans="1:11" x14ac:dyDescent="0.25">
      <c r="A38" s="54" t="s">
        <v>4</v>
      </c>
      <c r="B38" s="55">
        <v>65000</v>
      </c>
      <c r="C38" s="55">
        <v>52000</v>
      </c>
      <c r="D38" s="55">
        <v>58000</v>
      </c>
      <c r="E38" s="55">
        <v>55000</v>
      </c>
      <c r="F38" s="55">
        <v>72000</v>
      </c>
      <c r="G38" s="55">
        <v>48000</v>
      </c>
      <c r="H38" s="55">
        <v>61000</v>
      </c>
      <c r="I38" s="55">
        <v>50000</v>
      </c>
      <c r="J38" s="55">
        <v>78000</v>
      </c>
      <c r="K38" s="55">
        <v>57000</v>
      </c>
    </row>
    <row r="39" spans="1:11" x14ac:dyDescent="0.25">
      <c r="A39" s="54" t="s">
        <v>178</v>
      </c>
      <c r="B39" s="55" t="s">
        <v>181</v>
      </c>
      <c r="C39" s="55" t="s">
        <v>184</v>
      </c>
      <c r="D39" s="55" t="s">
        <v>187</v>
      </c>
      <c r="E39" s="55" t="s">
        <v>191</v>
      </c>
      <c r="F39" s="55" t="s">
        <v>194</v>
      </c>
      <c r="G39" s="55" t="s">
        <v>197</v>
      </c>
      <c r="H39" s="55" t="s">
        <v>181</v>
      </c>
      <c r="I39" s="55" t="s">
        <v>194</v>
      </c>
      <c r="J39" s="55" t="s">
        <v>184</v>
      </c>
      <c r="K39" s="55"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B106-D2CD-47A9-8532-38E23F3E3C34}">
  <dimension ref="A1:B4"/>
  <sheetViews>
    <sheetView workbookViewId="0"/>
  </sheetViews>
  <sheetFormatPr defaultRowHeight="15" x14ac:dyDescent="0.25"/>
  <cols>
    <col min="1" max="1" width="13.140625" bestFit="1" customWidth="1"/>
    <col min="2" max="2" width="12.140625" bestFit="1" customWidth="1"/>
  </cols>
  <sheetData>
    <row r="1" spans="1:2" x14ac:dyDescent="0.25">
      <c r="A1" s="59" t="s">
        <v>259</v>
      </c>
      <c r="B1" t="s">
        <v>261</v>
      </c>
    </row>
    <row r="2" spans="1:2" x14ac:dyDescent="0.25">
      <c r="A2" s="53" t="s">
        <v>105</v>
      </c>
      <c r="B2">
        <v>58000</v>
      </c>
    </row>
    <row r="3" spans="1:2" x14ac:dyDescent="0.25">
      <c r="A3" s="53" t="s">
        <v>100</v>
      </c>
      <c r="B3">
        <v>263000</v>
      </c>
    </row>
    <row r="4" spans="1:2" x14ac:dyDescent="0.25">
      <c r="A4" s="53" t="s">
        <v>260</v>
      </c>
      <c r="B4">
        <v>321000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3BFE-CB26-46E2-A183-0C33F7B2F9D2}">
  <dimension ref="A1:C6"/>
  <sheetViews>
    <sheetView workbookViewId="0">
      <selection activeCell="D5" sqref="D5"/>
    </sheetView>
  </sheetViews>
  <sheetFormatPr defaultRowHeight="15" x14ac:dyDescent="0.25"/>
  <cols>
    <col min="1" max="2" width="16.28515625" bestFit="1" customWidth="1"/>
    <col min="3" max="5" width="11.28515625" bestFit="1" customWidth="1"/>
  </cols>
  <sheetData>
    <row r="1" spans="1:3" x14ac:dyDescent="0.25">
      <c r="A1" s="59" t="s">
        <v>262</v>
      </c>
      <c r="B1" t="s">
        <v>263</v>
      </c>
    </row>
    <row r="3" spans="1:3" x14ac:dyDescent="0.25">
      <c r="A3" s="59" t="s">
        <v>261</v>
      </c>
      <c r="B3" s="59" t="s">
        <v>264</v>
      </c>
    </row>
    <row r="4" spans="1:3" x14ac:dyDescent="0.25">
      <c r="A4" s="59" t="s">
        <v>259</v>
      </c>
      <c r="B4" t="s">
        <v>247</v>
      </c>
      <c r="C4" t="s">
        <v>260</v>
      </c>
    </row>
    <row r="5" spans="1:3" x14ac:dyDescent="0.25">
      <c r="A5" s="53" t="s">
        <v>17</v>
      </c>
      <c r="B5">
        <v>39000</v>
      </c>
      <c r="C5">
        <v>39000</v>
      </c>
    </row>
    <row r="6" spans="1:3" x14ac:dyDescent="0.25">
      <c r="A6" s="53" t="s">
        <v>260</v>
      </c>
      <c r="B6">
        <v>39000</v>
      </c>
      <c r="C6">
        <v>39000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9A33-319F-4EF7-AC23-0ADF70891FEE}">
  <dimension ref="A1:F12"/>
  <sheetViews>
    <sheetView tabSelected="1" zoomScale="145" workbookViewId="0">
      <selection activeCell="H367" sqref="H367"/>
    </sheetView>
  </sheetViews>
  <sheetFormatPr defaultRowHeight="15" x14ac:dyDescent="0.25"/>
  <cols>
    <col min="1" max="5" width="18.85546875" customWidth="1"/>
  </cols>
  <sheetData>
    <row r="1" spans="1:6" s="23" customFormat="1" ht="30" customHeight="1" x14ac:dyDescent="0.25">
      <c r="A1" s="63" t="s">
        <v>265</v>
      </c>
      <c r="B1" s="64" t="s">
        <v>245</v>
      </c>
      <c r="C1" s="64" t="s">
        <v>100</v>
      </c>
      <c r="D1" s="64" t="s">
        <v>266</v>
      </c>
      <c r="E1" s="64" t="s">
        <v>267</v>
      </c>
    </row>
    <row r="2" spans="1:6" s="23" customFormat="1" ht="30" customHeight="1" x14ac:dyDescent="0.25">
      <c r="A2" s="23" t="s">
        <v>101</v>
      </c>
      <c r="B2" s="23" t="s">
        <v>248</v>
      </c>
      <c r="C2" s="23">
        <v>90000</v>
      </c>
      <c r="D2" s="23">
        <v>12000</v>
      </c>
      <c r="E2" s="23">
        <v>92</v>
      </c>
    </row>
    <row r="3" spans="1:6" s="23" customFormat="1" ht="30" customHeight="1" x14ac:dyDescent="0.25">
      <c r="A3" s="23" t="s">
        <v>102</v>
      </c>
      <c r="B3" s="23" t="s">
        <v>251</v>
      </c>
      <c r="C3" s="23">
        <v>20000</v>
      </c>
      <c r="D3" s="23">
        <v>3000</v>
      </c>
      <c r="E3" s="23">
        <v>65</v>
      </c>
    </row>
    <row r="4" spans="1:6" s="23" customFormat="1" ht="30" customHeight="1" x14ac:dyDescent="0.25">
      <c r="A4" s="23" t="s">
        <v>103</v>
      </c>
      <c r="B4" s="23" t="s">
        <v>268</v>
      </c>
      <c r="C4" s="23">
        <v>45000</v>
      </c>
      <c r="D4" s="23">
        <v>6000</v>
      </c>
      <c r="E4" s="23">
        <v>78</v>
      </c>
    </row>
    <row r="5" spans="1:6" s="23" customFormat="1" ht="30" customHeight="1" x14ac:dyDescent="0.25">
      <c r="A5" s="23" t="s">
        <v>104</v>
      </c>
      <c r="B5" s="23" t="s">
        <v>255</v>
      </c>
      <c r="C5" s="23">
        <v>62000</v>
      </c>
      <c r="D5" s="23">
        <v>9000</v>
      </c>
      <c r="E5" s="23">
        <v>88</v>
      </c>
    </row>
    <row r="6" spans="1:6" s="23" customFormat="1" ht="30" customHeight="1" x14ac:dyDescent="0.25">
      <c r="A6" s="23" t="s">
        <v>101</v>
      </c>
      <c r="B6" s="23" t="s">
        <v>248</v>
      </c>
      <c r="C6" s="23">
        <v>90000</v>
      </c>
      <c r="D6" s="23">
        <v>12000</v>
      </c>
      <c r="E6" s="23">
        <v>92</v>
      </c>
    </row>
    <row r="7" spans="1:6" s="23" customFormat="1" ht="30" customHeight="1" x14ac:dyDescent="0.25">
      <c r="A7" s="23" t="s">
        <v>254</v>
      </c>
      <c r="B7" s="23" t="s">
        <v>250</v>
      </c>
      <c r="C7" s="23">
        <v>15000</v>
      </c>
      <c r="D7" s="23">
        <v>2000</v>
      </c>
      <c r="E7" s="23">
        <v>40</v>
      </c>
    </row>
    <row r="8" spans="1:6" s="23" customFormat="1" ht="30" customHeight="1" x14ac:dyDescent="0.25"/>
    <row r="9" spans="1:6" s="23" customFormat="1" ht="30" customHeight="1" x14ac:dyDescent="0.25">
      <c r="A9" s="64" t="s">
        <v>245</v>
      </c>
      <c r="B9" s="64" t="s">
        <v>269</v>
      </c>
      <c r="C9" s="64" t="s">
        <v>270</v>
      </c>
      <c r="D9" s="64" t="s">
        <v>271</v>
      </c>
      <c r="E9" s="64" t="s">
        <v>272</v>
      </c>
      <c r="F9" s="64" t="s">
        <v>70</v>
      </c>
    </row>
    <row r="10" spans="1:6" s="23" customFormat="1" ht="30" customHeight="1" x14ac:dyDescent="0.25">
      <c r="A10" s="23" t="s">
        <v>248</v>
      </c>
      <c r="B10" s="23">
        <v>20</v>
      </c>
      <c r="C10" s="23">
        <v>25</v>
      </c>
      <c r="D10" s="23">
        <v>30</v>
      </c>
      <c r="E10" s="23">
        <v>35</v>
      </c>
      <c r="F10" s="23">
        <v>40</v>
      </c>
    </row>
    <row r="11" spans="1:6" s="23" customFormat="1" ht="30" customHeight="1" x14ac:dyDescent="0.25">
      <c r="A11" s="23" t="s">
        <v>251</v>
      </c>
      <c r="B11" s="23">
        <v>40</v>
      </c>
      <c r="C11" s="23">
        <v>35</v>
      </c>
      <c r="D11" s="23">
        <v>30</v>
      </c>
      <c r="E11" s="23">
        <v>25</v>
      </c>
      <c r="F11" s="23">
        <v>20</v>
      </c>
    </row>
    <row r="12" spans="1:6" s="23" customFormat="1" ht="30" customHeight="1" x14ac:dyDescent="0.25">
      <c r="A12" s="23" t="s">
        <v>268</v>
      </c>
      <c r="B12" s="23">
        <v>30</v>
      </c>
      <c r="C12" s="23">
        <v>32</v>
      </c>
      <c r="D12" s="23">
        <v>28</v>
      </c>
      <c r="E12" s="23">
        <v>34</v>
      </c>
      <c r="F12" s="23">
        <v>36</v>
      </c>
    </row>
  </sheetData>
  <conditionalFormatting sqref="A2:A7">
    <cfRule type="duplicateValues" dxfId="3" priority="3"/>
  </conditionalFormatting>
  <conditionalFormatting sqref="C2:C7">
    <cfRule type="cellIs" dxfId="2" priority="2" operator="lessThan">
      <formula>21000</formula>
    </cfRule>
  </conditionalFormatting>
  <conditionalFormatting sqref="E2:E8">
    <cfRule type="iconSet" priority="1">
      <iconSet iconSet="4ArrowsGray">
        <cfvo type="percent" val="0"/>
        <cfvo type="percent" val="25"/>
        <cfvo type="percent" val="50"/>
        <cfvo type="percent" val="75"/>
      </iconSet>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type="stacked" displayEmptyCellsAs="gap" negative="1" xr2:uid="{AF28346A-8E95-4BDD-B21B-39E0D59E4572}">
          <x14:colorSeries rgb="FF376092"/>
          <x14:colorNegative rgb="FFD00000"/>
          <x14:colorAxis rgb="FF000000"/>
          <x14:colorMarkers rgb="FFD00000"/>
          <x14:colorFirst rgb="FFD00000"/>
          <x14:colorLast rgb="FFD00000"/>
          <x14:colorHigh rgb="FFD00000"/>
          <x14:colorLow rgb="FFD00000"/>
          <x14:sparklines>
            <x14:sparkline>
              <xm:f>conditional!B12:F12</xm:f>
              <xm:sqref>G12</xm:sqref>
            </x14:sparkline>
          </x14:sparklines>
        </x14:sparklineGroup>
        <x14:sparklineGroup type="column" displayEmptyCellsAs="gap" xr2:uid="{C75922DE-828B-4130-910A-F958A14B042D}">
          <x14:colorSeries rgb="FF376092"/>
          <x14:colorNegative rgb="FFD00000"/>
          <x14:colorAxis rgb="FF000000"/>
          <x14:colorMarkers rgb="FFD00000"/>
          <x14:colorFirst rgb="FFD00000"/>
          <x14:colorLast rgb="FFD00000"/>
          <x14:colorHigh rgb="FFD00000"/>
          <x14:colorLow rgb="FFD00000"/>
          <x14:sparklines>
            <x14:sparkline>
              <xm:f>conditional!B11:F11</xm:f>
              <xm:sqref>G11</xm:sqref>
            </x14:sparkline>
          </x14:sparklines>
        </x14:sparklineGroup>
        <x14:sparklineGroup displayEmptyCellsAs="gap" xr2:uid="{04CF1C0D-DD26-4313-8A81-9C5D8D9CD458}">
          <x14:colorSeries rgb="FF376092"/>
          <x14:colorNegative rgb="FFD00000"/>
          <x14:colorAxis rgb="FF000000"/>
          <x14:colorMarkers rgb="FFD00000"/>
          <x14:colorFirst rgb="FFD00000"/>
          <x14:colorLast rgb="FFD00000"/>
          <x14:colorHigh rgb="FFD00000"/>
          <x14:colorLow rgb="FFD00000"/>
          <x14:sparklines>
            <x14:sparkline>
              <xm:f>conditional!B10:F10</xm:f>
              <xm:sqref>G10</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F3883-9117-405B-8E77-B0925C193EFD}">
  <dimension ref="A1:G9"/>
  <sheetViews>
    <sheetView workbookViewId="0">
      <selection activeCell="B6" sqref="B6"/>
    </sheetView>
  </sheetViews>
  <sheetFormatPr defaultRowHeight="15" x14ac:dyDescent="0.25"/>
  <cols>
    <col min="1" max="7" width="17.85546875" style="53" customWidth="1"/>
  </cols>
  <sheetData>
    <row r="1" spans="1:6" ht="18.75" x14ac:dyDescent="0.3">
      <c r="A1" s="58" t="s">
        <v>99</v>
      </c>
      <c r="B1" s="58" t="s">
        <v>3</v>
      </c>
      <c r="C1" s="58" t="s">
        <v>178</v>
      </c>
      <c r="D1" s="58" t="s">
        <v>245</v>
      </c>
      <c r="E1" s="58" t="s">
        <v>100</v>
      </c>
      <c r="F1" s="58" t="s">
        <v>246</v>
      </c>
    </row>
    <row r="2" spans="1:6" x14ac:dyDescent="0.25">
      <c r="A2" s="53" t="s">
        <v>101</v>
      </c>
      <c r="B2" s="53" t="s">
        <v>100</v>
      </c>
      <c r="C2" s="53" t="s">
        <v>247</v>
      </c>
      <c r="D2" s="53" t="s">
        <v>248</v>
      </c>
      <c r="E2" s="53">
        <v>50000</v>
      </c>
      <c r="F2" s="57">
        <v>46027</v>
      </c>
    </row>
    <row r="3" spans="1:6" x14ac:dyDescent="0.25">
      <c r="A3" s="53" t="s">
        <v>102</v>
      </c>
      <c r="B3" s="53" t="s">
        <v>105</v>
      </c>
      <c r="C3" s="53" t="s">
        <v>249</v>
      </c>
      <c r="D3" s="53" t="s">
        <v>250</v>
      </c>
      <c r="E3" s="53">
        <v>30000</v>
      </c>
      <c r="F3" s="57">
        <v>46034</v>
      </c>
    </row>
    <row r="4" spans="1:6" x14ac:dyDescent="0.25">
      <c r="A4" s="53" t="s">
        <v>103</v>
      </c>
      <c r="B4" s="53" t="s">
        <v>100</v>
      </c>
      <c r="C4" s="53" t="s">
        <v>247</v>
      </c>
      <c r="D4" s="53" t="s">
        <v>251</v>
      </c>
      <c r="E4" s="53">
        <v>70000</v>
      </c>
      <c r="F4" s="57">
        <v>46042</v>
      </c>
    </row>
    <row r="5" spans="1:6" x14ac:dyDescent="0.25">
      <c r="A5" s="53" t="s">
        <v>252</v>
      </c>
      <c r="B5" s="53" t="s">
        <v>17</v>
      </c>
      <c r="C5" s="53" t="s">
        <v>253</v>
      </c>
      <c r="D5" s="53" t="s">
        <v>248</v>
      </c>
      <c r="E5" s="53">
        <v>45000</v>
      </c>
      <c r="F5" s="57">
        <v>46055</v>
      </c>
    </row>
    <row r="6" spans="1:6" x14ac:dyDescent="0.25">
      <c r="A6" s="53" t="s">
        <v>254</v>
      </c>
      <c r="B6" s="53" t="s">
        <v>100</v>
      </c>
      <c r="C6" s="53" t="s">
        <v>249</v>
      </c>
      <c r="D6" s="53" t="s">
        <v>255</v>
      </c>
      <c r="E6" s="53">
        <v>62000</v>
      </c>
      <c r="F6" s="57">
        <v>46067</v>
      </c>
    </row>
    <row r="7" spans="1:6" x14ac:dyDescent="0.25">
      <c r="A7" s="53" t="s">
        <v>256</v>
      </c>
      <c r="B7" s="53" t="s">
        <v>105</v>
      </c>
      <c r="C7" s="53" t="s">
        <v>253</v>
      </c>
      <c r="D7" s="53" t="s">
        <v>250</v>
      </c>
      <c r="E7" s="53">
        <v>28000</v>
      </c>
      <c r="F7" s="57">
        <v>46075</v>
      </c>
    </row>
    <row r="8" spans="1:6" x14ac:dyDescent="0.25">
      <c r="A8" s="53" t="s">
        <v>257</v>
      </c>
      <c r="B8" s="53" t="s">
        <v>17</v>
      </c>
      <c r="C8" s="53" t="s">
        <v>247</v>
      </c>
      <c r="D8" s="53" t="s">
        <v>251</v>
      </c>
      <c r="E8" s="53">
        <v>39000</v>
      </c>
      <c r="F8" s="57">
        <v>46084</v>
      </c>
    </row>
    <row r="9" spans="1:6" x14ac:dyDescent="0.25">
      <c r="A9" s="53" t="s">
        <v>258</v>
      </c>
      <c r="B9" s="53" t="s">
        <v>100</v>
      </c>
      <c r="C9" s="53" t="s">
        <v>253</v>
      </c>
      <c r="D9" s="53" t="s">
        <v>255</v>
      </c>
      <c r="E9" s="53">
        <v>81000</v>
      </c>
      <c r="F9" s="57">
        <v>46099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E3B48-4471-451D-B805-B40CC56BD1E4}">
  <dimension ref="A1:E8"/>
  <sheetViews>
    <sheetView zoomScale="179" zoomScaleNormal="160" workbookViewId="0">
      <pane ySplit="1" topLeftCell="A2" activePane="bottomLeft" state="frozen"/>
      <selection pane="bottomLeft" activeCell="E7" sqref="E7"/>
    </sheetView>
  </sheetViews>
  <sheetFormatPr defaultRowHeight="15" x14ac:dyDescent="0.25"/>
  <cols>
    <col min="1" max="3" width="19.7109375" customWidth="1"/>
    <col min="4" max="4" width="28" style="9" customWidth="1"/>
    <col min="5" max="5" width="28" style="8" customWidth="1"/>
  </cols>
  <sheetData>
    <row r="1" spans="1:5" s="1" customFormat="1" ht="18.75" x14ac:dyDescent="0.3">
      <c r="A1" s="60" t="s">
        <v>0</v>
      </c>
      <c r="B1" s="61"/>
      <c r="C1" s="61"/>
      <c r="D1" s="61"/>
      <c r="E1" s="61"/>
    </row>
    <row r="2" spans="1:5" ht="15.75" x14ac:dyDescent="0.25">
      <c r="A2" s="2" t="s">
        <v>1</v>
      </c>
      <c r="B2" s="2" t="s">
        <v>2</v>
      </c>
      <c r="C2" s="2" t="s">
        <v>3</v>
      </c>
      <c r="D2" s="3" t="s">
        <v>4</v>
      </c>
      <c r="E2" s="4" t="s">
        <v>5</v>
      </c>
    </row>
    <row r="3" spans="1:5" ht="15.75" x14ac:dyDescent="0.25">
      <c r="A3" s="17" t="s">
        <v>18</v>
      </c>
      <c r="B3" s="18" t="s">
        <v>19</v>
      </c>
      <c r="C3" s="19" t="s">
        <v>20</v>
      </c>
      <c r="D3" s="20" t="s">
        <v>21</v>
      </c>
      <c r="E3" s="21" t="s">
        <v>22</v>
      </c>
    </row>
    <row r="4" spans="1:5" ht="15.75" x14ac:dyDescent="0.25">
      <c r="A4" s="10" t="s">
        <v>12</v>
      </c>
      <c r="B4" s="6" t="s">
        <v>13</v>
      </c>
      <c r="C4" s="5" t="s">
        <v>14</v>
      </c>
      <c r="D4" s="7">
        <v>80000</v>
      </c>
      <c r="E4" s="11">
        <v>45669</v>
      </c>
    </row>
    <row r="5" spans="1:5" ht="15.75" x14ac:dyDescent="0.25">
      <c r="A5" s="10" t="s">
        <v>15</v>
      </c>
      <c r="B5" s="6" t="s">
        <v>16</v>
      </c>
      <c r="C5" s="5" t="s">
        <v>17</v>
      </c>
      <c r="D5" s="7">
        <v>60000</v>
      </c>
      <c r="E5" s="11">
        <v>45670</v>
      </c>
    </row>
    <row r="6" spans="1:5" ht="15.75" x14ac:dyDescent="0.25">
      <c r="A6" s="10" t="s">
        <v>9</v>
      </c>
      <c r="B6" s="6" t="s">
        <v>10</v>
      </c>
      <c r="C6" s="5" t="s">
        <v>11</v>
      </c>
      <c r="D6" s="7">
        <v>70000</v>
      </c>
      <c r="E6" s="11">
        <v>45668</v>
      </c>
    </row>
    <row r="7" spans="1:5" ht="15.75" x14ac:dyDescent="0.25">
      <c r="A7" s="12" t="s">
        <v>6</v>
      </c>
      <c r="B7" s="13" t="s">
        <v>7</v>
      </c>
      <c r="C7" s="14" t="s">
        <v>8</v>
      </c>
      <c r="D7" s="15">
        <v>60000</v>
      </c>
      <c r="E7" s="16">
        <v>45667</v>
      </c>
    </row>
    <row r="8" spans="1:5" ht="15.75" x14ac:dyDescent="0.25">
      <c r="A8" s="12" t="s">
        <v>23</v>
      </c>
      <c r="B8" s="13"/>
      <c r="C8" s="14"/>
      <c r="D8" s="15">
        <f>SUBTOTAL(109,Table2[Column4])</f>
        <v>270000</v>
      </c>
      <c r="E8" s="22">
        <f>SUBTOTAL(103,Table2[Column5])</f>
        <v>4</v>
      </c>
    </row>
  </sheetData>
  <mergeCells count="1">
    <mergeCell ref="A1:E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8B8E-6FD6-4B55-962E-A2FB2B0BE124}">
  <dimension ref="A1:H10"/>
  <sheetViews>
    <sheetView workbookViewId="0">
      <pane xSplit="1" ySplit="2" topLeftCell="B3" activePane="bottomRight" state="frozen"/>
      <selection pane="topRight" activeCell="B1" sqref="B1"/>
      <selection pane="bottomLeft" activeCell="A3" sqref="A3"/>
      <selection pane="bottomRight" activeCell="G13" sqref="G13"/>
    </sheetView>
  </sheetViews>
  <sheetFormatPr defaultRowHeight="15" x14ac:dyDescent="0.25"/>
  <cols>
    <col min="1" max="1" width="15.85546875" style="23" customWidth="1"/>
    <col min="2" max="2" width="19.42578125" style="23" customWidth="1"/>
    <col min="3" max="3" width="18.42578125" style="23" customWidth="1"/>
    <col min="4" max="4" width="15.7109375" style="23" customWidth="1"/>
    <col min="5" max="5" width="13.28515625" style="23" customWidth="1"/>
    <col min="6" max="6" width="13.7109375" style="23" customWidth="1"/>
    <col min="7" max="16384" width="9.140625" style="23"/>
  </cols>
  <sheetData>
    <row r="1" spans="1:8" x14ac:dyDescent="0.25">
      <c r="A1" s="62" t="s">
        <v>56</v>
      </c>
      <c r="B1" s="62"/>
      <c r="C1" s="62"/>
      <c r="D1" s="62"/>
      <c r="E1" s="62"/>
      <c r="F1" s="62"/>
    </row>
    <row r="2" spans="1:8" ht="31.5" x14ac:dyDescent="0.25">
      <c r="A2" s="26" t="s">
        <v>24</v>
      </c>
      <c r="B2" s="27" t="s">
        <v>25</v>
      </c>
      <c r="C2" s="27" t="s">
        <v>26</v>
      </c>
      <c r="D2" s="26" t="s">
        <v>27</v>
      </c>
      <c r="E2" s="28" t="s">
        <v>28</v>
      </c>
      <c r="F2" s="29" t="s">
        <v>29</v>
      </c>
    </row>
    <row r="3" spans="1:8" x14ac:dyDescent="0.25">
      <c r="A3" s="30" t="s">
        <v>18</v>
      </c>
      <c r="B3" s="31" t="s">
        <v>19</v>
      </c>
      <c r="C3" s="31" t="s">
        <v>20</v>
      </c>
      <c r="D3" s="32" t="s">
        <v>21</v>
      </c>
      <c r="E3" s="33" t="s">
        <v>22</v>
      </c>
      <c r="F3" s="34" t="s">
        <v>58</v>
      </c>
    </row>
    <row r="4" spans="1:8" hidden="1" x14ac:dyDescent="0.25">
      <c r="A4" s="35" t="s">
        <v>46</v>
      </c>
      <c r="B4" s="36" t="s">
        <v>47</v>
      </c>
      <c r="C4" s="36" t="s">
        <v>48</v>
      </c>
      <c r="D4" s="37" t="s">
        <v>49</v>
      </c>
      <c r="E4" s="38">
        <v>299</v>
      </c>
      <c r="F4" s="39">
        <v>46064</v>
      </c>
    </row>
    <row r="5" spans="1:8" hidden="1" x14ac:dyDescent="0.25">
      <c r="A5" s="35" t="s">
        <v>53</v>
      </c>
      <c r="B5" s="36" t="s">
        <v>54</v>
      </c>
      <c r="C5" s="36" t="s">
        <v>55</v>
      </c>
      <c r="D5" s="37" t="s">
        <v>37</v>
      </c>
      <c r="E5" s="38">
        <v>350</v>
      </c>
      <c r="F5" s="39">
        <v>46086</v>
      </c>
    </row>
    <row r="6" spans="1:8" hidden="1" x14ac:dyDescent="0.25">
      <c r="A6" s="35" t="s">
        <v>34</v>
      </c>
      <c r="B6" s="36" t="s">
        <v>35</v>
      </c>
      <c r="C6" s="36" t="s">
        <v>36</v>
      </c>
      <c r="D6" s="37" t="s">
        <v>37</v>
      </c>
      <c r="E6" s="38">
        <v>399</v>
      </c>
      <c r="F6" s="39">
        <v>46032</v>
      </c>
    </row>
    <row r="7" spans="1:8" hidden="1" x14ac:dyDescent="0.25">
      <c r="A7" s="35" t="s">
        <v>30</v>
      </c>
      <c r="B7" s="36" t="s">
        <v>31</v>
      </c>
      <c r="C7" s="36" t="s">
        <v>32</v>
      </c>
      <c r="D7" s="37" t="s">
        <v>33</v>
      </c>
      <c r="E7" s="38">
        <v>450</v>
      </c>
      <c r="F7" s="39">
        <v>46025</v>
      </c>
    </row>
    <row r="8" spans="1:8" hidden="1" x14ac:dyDescent="0.25">
      <c r="A8" s="35" t="s">
        <v>38</v>
      </c>
      <c r="B8" s="36" t="s">
        <v>39</v>
      </c>
      <c r="C8" s="36" t="s">
        <v>40</v>
      </c>
      <c r="D8" s="37" t="s">
        <v>41</v>
      </c>
      <c r="E8" s="38">
        <v>550</v>
      </c>
      <c r="F8" s="39">
        <v>46040</v>
      </c>
    </row>
    <row r="9" spans="1:8" x14ac:dyDescent="0.25">
      <c r="A9" s="35" t="s">
        <v>42</v>
      </c>
      <c r="B9" s="36" t="s">
        <v>43</v>
      </c>
      <c r="C9" s="36" t="s">
        <v>44</v>
      </c>
      <c r="D9" s="37" t="s">
        <v>45</v>
      </c>
      <c r="E9" s="38">
        <v>620</v>
      </c>
      <c r="F9" s="39">
        <v>46055</v>
      </c>
    </row>
    <row r="10" spans="1:8" x14ac:dyDescent="0.25">
      <c r="A10" s="40" t="s">
        <v>50</v>
      </c>
      <c r="B10" s="41" t="s">
        <v>51</v>
      </c>
      <c r="C10" s="41" t="s">
        <v>52</v>
      </c>
      <c r="D10" s="42" t="s">
        <v>45</v>
      </c>
      <c r="E10" s="43">
        <v>780</v>
      </c>
      <c r="F10" s="44">
        <v>46073</v>
      </c>
    </row>
  </sheetData>
  <mergeCells count="1">
    <mergeCell ref="A1:F1"/>
  </mergeCells>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072AC-4CC0-4057-828D-EA12DDD452F1}">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50196-25E5-456B-9BB0-89963F92C88A}">
  <dimension ref="A1"/>
  <sheetViews>
    <sheetView workbookViewId="0"/>
  </sheetViews>
  <sheetFormatPr defaultRowHeight="15" x14ac:dyDescent="0.25"/>
  <sheetData>
    <row r="1" spans="1:1" x14ac:dyDescent="0.25">
      <c r="A1" t="s">
        <v>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C0528-02E0-400E-A2A8-C95D9DEBC117}">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C8EA7-C266-4671-A65C-8220B3654CB3}">
  <dimension ref="A1:H13"/>
  <sheetViews>
    <sheetView workbookViewId="0">
      <pane xSplit="1" ySplit="2" topLeftCell="B3" activePane="bottomRight" state="frozen"/>
      <selection pane="topRight" activeCell="B1" sqref="B1"/>
      <selection pane="bottomLeft" activeCell="A3" sqref="A3"/>
      <selection pane="bottomRight" activeCell="E15" sqref="E15"/>
    </sheetView>
  </sheetViews>
  <sheetFormatPr defaultRowHeight="15" x14ac:dyDescent="0.25"/>
  <cols>
    <col min="1" max="1" width="15.85546875" style="23" customWidth="1"/>
    <col min="2" max="2" width="19.42578125" style="23" customWidth="1"/>
    <col min="3" max="3" width="18.42578125" style="23" customWidth="1"/>
    <col min="4" max="4" width="15.7109375" style="23" customWidth="1"/>
    <col min="5" max="5" width="13.28515625" style="23" customWidth="1"/>
    <col min="6" max="6" width="13.7109375" style="23" customWidth="1"/>
    <col min="7" max="16384" width="9.140625" style="23"/>
  </cols>
  <sheetData>
    <row r="1" spans="1:8" x14ac:dyDescent="0.25">
      <c r="A1" s="62" t="s">
        <v>56</v>
      </c>
      <c r="B1" s="62"/>
      <c r="C1" s="62"/>
      <c r="D1" s="62"/>
      <c r="E1" s="62"/>
      <c r="F1" s="62"/>
    </row>
    <row r="2" spans="1:8" x14ac:dyDescent="0.25">
      <c r="A2" s="23" t="s">
        <v>24</v>
      </c>
      <c r="B2" s="23" t="s">
        <v>25</v>
      </c>
      <c r="C2" s="23" t="s">
        <v>26</v>
      </c>
      <c r="D2" s="23" t="s">
        <v>27</v>
      </c>
      <c r="E2" s="24" t="s">
        <v>28</v>
      </c>
      <c r="F2" s="25" t="s">
        <v>29</v>
      </c>
    </row>
    <row r="3" spans="1:8" x14ac:dyDescent="0.25">
      <c r="A3" s="23" t="s">
        <v>18</v>
      </c>
      <c r="B3" s="23" t="s">
        <v>19</v>
      </c>
      <c r="C3" s="23" t="s">
        <v>20</v>
      </c>
      <c r="D3" s="23" t="s">
        <v>21</v>
      </c>
      <c r="E3" s="24" t="s">
        <v>22</v>
      </c>
      <c r="F3" s="25" t="s">
        <v>58</v>
      </c>
    </row>
    <row r="4" spans="1:8" x14ac:dyDescent="0.25">
      <c r="A4" s="23" t="s">
        <v>30</v>
      </c>
      <c r="B4" s="23" t="s">
        <v>31</v>
      </c>
      <c r="C4" s="23" t="s">
        <v>32</v>
      </c>
      <c r="D4" s="23" t="s">
        <v>33</v>
      </c>
      <c r="E4" s="24">
        <v>450</v>
      </c>
      <c r="F4" s="25">
        <v>46025</v>
      </c>
    </row>
    <row r="5" spans="1:8" x14ac:dyDescent="0.25">
      <c r="A5" s="23" t="s">
        <v>34</v>
      </c>
      <c r="B5" s="23" t="s">
        <v>35</v>
      </c>
      <c r="C5" s="23" t="s">
        <v>36</v>
      </c>
      <c r="D5" s="23" t="s">
        <v>37</v>
      </c>
      <c r="E5" s="24">
        <v>399</v>
      </c>
      <c r="F5" s="25">
        <v>46032</v>
      </c>
    </row>
    <row r="6" spans="1:8" x14ac:dyDescent="0.25">
      <c r="A6" s="23" t="s">
        <v>38</v>
      </c>
      <c r="B6" s="23" t="s">
        <v>39</v>
      </c>
      <c r="C6" s="23" t="s">
        <v>40</v>
      </c>
      <c r="D6" s="23" t="s">
        <v>41</v>
      </c>
      <c r="E6" s="24">
        <v>550</v>
      </c>
      <c r="F6" s="25">
        <v>46040</v>
      </c>
    </row>
    <row r="7" spans="1:8" x14ac:dyDescent="0.25">
      <c r="A7" s="23" t="s">
        <v>42</v>
      </c>
      <c r="B7" s="23" t="s">
        <v>43</v>
      </c>
      <c r="C7" s="23" t="s">
        <v>44</v>
      </c>
      <c r="D7" s="23" t="s">
        <v>45</v>
      </c>
      <c r="E7" s="24">
        <v>620</v>
      </c>
      <c r="F7" s="25">
        <v>46055</v>
      </c>
    </row>
    <row r="8" spans="1:8" x14ac:dyDescent="0.25">
      <c r="A8" s="23" t="s">
        <v>46</v>
      </c>
      <c r="B8" s="23" t="s">
        <v>47</v>
      </c>
      <c r="C8" s="23" t="s">
        <v>48</v>
      </c>
      <c r="D8" s="23" t="s">
        <v>49</v>
      </c>
      <c r="E8" s="24">
        <v>299</v>
      </c>
      <c r="F8" s="25">
        <v>46064</v>
      </c>
    </row>
    <row r="9" spans="1:8" x14ac:dyDescent="0.25">
      <c r="A9" s="23" t="s">
        <v>50</v>
      </c>
      <c r="B9" s="23" t="s">
        <v>51</v>
      </c>
      <c r="C9" s="23" t="s">
        <v>52</v>
      </c>
      <c r="D9" s="23" t="s">
        <v>45</v>
      </c>
      <c r="E9" s="24">
        <v>780</v>
      </c>
      <c r="F9" s="25">
        <v>46073</v>
      </c>
    </row>
    <row r="10" spans="1:8" x14ac:dyDescent="0.25">
      <c r="A10" s="23" t="s">
        <v>53</v>
      </c>
      <c r="B10" s="23" t="s">
        <v>54</v>
      </c>
      <c r="C10" s="23" t="s">
        <v>55</v>
      </c>
      <c r="D10" s="23" t="s">
        <v>37</v>
      </c>
      <c r="E10" s="24">
        <v>350</v>
      </c>
      <c r="F10" s="25">
        <v>46086</v>
      </c>
    </row>
    <row r="11" spans="1:8" x14ac:dyDescent="0.25">
      <c r="A11" s="23" t="s">
        <v>59</v>
      </c>
      <c r="E11" s="24"/>
      <c r="F11" s="25"/>
    </row>
    <row r="12" spans="1:8" x14ac:dyDescent="0.25">
      <c r="A12" s="23" t="s">
        <v>23</v>
      </c>
      <c r="E12" s="24">
        <f>SUBTOTAL(101,Table35[Column5])</f>
        <v>492.57142857142856</v>
      </c>
      <c r="F12" s="23">
        <f>SUBTOTAL(103,Table35[Column6])</f>
        <v>7</v>
      </c>
    </row>
    <row r="13" spans="1:8" x14ac:dyDescent="0.25">
      <c r="D13" s="23" t="s">
        <v>80</v>
      </c>
      <c r="E13" s="24">
        <f>SUM(E4:E10)</f>
        <v>3448</v>
      </c>
    </row>
  </sheetData>
  <mergeCells count="1">
    <mergeCell ref="A1:F1"/>
  </mergeCells>
  <pageMargins left="0.7" right="0.7" top="0.75" bottom="0.75" header="0.3" footer="0.3"/>
  <legacy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81C7F-8BD7-4F68-8D86-59903DAD0EE1}">
  <dimension ref="A1:C5"/>
  <sheetViews>
    <sheetView workbookViewId="0">
      <selection activeCell="C6" sqref="C6"/>
    </sheetView>
  </sheetViews>
  <sheetFormatPr defaultRowHeight="15" x14ac:dyDescent="0.25"/>
  <sheetData>
    <row r="1" spans="1:3" x14ac:dyDescent="0.25">
      <c r="A1">
        <v>100</v>
      </c>
      <c r="B1">
        <v>200</v>
      </c>
      <c r="C1">
        <f>A1+B1</f>
        <v>300</v>
      </c>
    </row>
    <row r="2" spans="1:3" x14ac:dyDescent="0.25">
      <c r="C2">
        <f>A1*B1</f>
        <v>20000</v>
      </c>
    </row>
    <row r="3" spans="1:3" x14ac:dyDescent="0.25">
      <c r="C3">
        <f>A1-B1</f>
        <v>-100</v>
      </c>
    </row>
    <row r="4" spans="1:3" x14ac:dyDescent="0.25">
      <c r="C4">
        <f>A1^2</f>
        <v>10000</v>
      </c>
    </row>
    <row r="5" spans="1:3" x14ac:dyDescent="0.25">
      <c r="C5">
        <f>A1/B1</f>
        <v>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EBDE-33AB-4474-96DF-BDB38A152FD6}">
  <dimension ref="A1:B9"/>
  <sheetViews>
    <sheetView workbookViewId="0">
      <selection activeCell="A11" sqref="A11"/>
    </sheetView>
  </sheetViews>
  <sheetFormatPr defaultRowHeight="15" x14ac:dyDescent="0.25"/>
  <sheetData>
    <row r="1" spans="1:2" x14ac:dyDescent="0.25">
      <c r="A1" t="s">
        <v>81</v>
      </c>
      <c r="B1" t="s">
        <v>82</v>
      </c>
    </row>
    <row r="2" spans="1:2" x14ac:dyDescent="0.25">
      <c r="A2">
        <v>8</v>
      </c>
      <c r="B2">
        <v>1000</v>
      </c>
    </row>
    <row r="3" spans="1:2" x14ac:dyDescent="0.25">
      <c r="A3">
        <v>9</v>
      </c>
      <c r="B3">
        <v>2000</v>
      </c>
    </row>
    <row r="4" spans="1:2" x14ac:dyDescent="0.25">
      <c r="A4">
        <v>6</v>
      </c>
      <c r="B4">
        <v>1500</v>
      </c>
    </row>
    <row r="5" spans="1:2" x14ac:dyDescent="0.25">
      <c r="A5">
        <v>7</v>
      </c>
      <c r="B5">
        <v>3000</v>
      </c>
    </row>
    <row r="6" spans="1:2" x14ac:dyDescent="0.25">
      <c r="B6">
        <f>SUM(B2:B5)</f>
        <v>7500</v>
      </c>
    </row>
    <row r="7" spans="1:2" x14ac:dyDescent="0.25">
      <c r="B7">
        <f>(B6/4)</f>
        <v>1875</v>
      </c>
    </row>
    <row r="8" spans="1:2" x14ac:dyDescent="0.25">
      <c r="B8">
        <v>5249.652</v>
      </c>
    </row>
    <row r="9" spans="1:2" x14ac:dyDescent="0.25">
      <c r="B9">
        <f>ROUND(B8,2)</f>
        <v>5249.65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491CD-0BAB-4DAE-B15A-3BBDAEABB669}">
  <dimension ref="A1:D13"/>
  <sheetViews>
    <sheetView workbookViewId="0">
      <selection activeCell="D2" sqref="D2:D13"/>
    </sheetView>
  </sheetViews>
  <sheetFormatPr defaultRowHeight="15" x14ac:dyDescent="0.25"/>
  <cols>
    <col min="1" max="1" width="23.140625" style="23" customWidth="1"/>
    <col min="2" max="2" width="9.140625" style="23"/>
    <col min="3" max="3" width="16.85546875" style="23" customWidth="1"/>
    <col min="4" max="4" width="16.42578125" style="23" customWidth="1"/>
    <col min="5" max="16384" width="9.140625" style="23"/>
  </cols>
  <sheetData>
    <row r="1" spans="1:4" x14ac:dyDescent="0.25">
      <c r="A1" s="23" t="s">
        <v>67</v>
      </c>
    </row>
    <row r="2" spans="1:4" x14ac:dyDescent="0.25">
      <c r="A2" s="23" t="s">
        <v>60</v>
      </c>
      <c r="B2" s="23">
        <v>10</v>
      </c>
      <c r="C2" s="25">
        <v>46246</v>
      </c>
      <c r="D2" s="23" t="s">
        <v>78</v>
      </c>
    </row>
    <row r="3" spans="1:4" x14ac:dyDescent="0.25">
      <c r="A3" s="23" t="s">
        <v>61</v>
      </c>
      <c r="B3" s="23">
        <v>20</v>
      </c>
      <c r="C3" s="25">
        <v>46247</v>
      </c>
      <c r="D3" s="23" t="s">
        <v>79</v>
      </c>
    </row>
    <row r="4" spans="1:4" x14ac:dyDescent="0.25">
      <c r="A4" s="23" t="s">
        <v>62</v>
      </c>
      <c r="B4" s="23">
        <v>30</v>
      </c>
      <c r="C4" s="25">
        <v>46248</v>
      </c>
      <c r="D4" s="23" t="s">
        <v>68</v>
      </c>
    </row>
    <row r="5" spans="1:4" x14ac:dyDescent="0.25">
      <c r="A5" s="23" t="s">
        <v>63</v>
      </c>
      <c r="B5" s="23">
        <v>40</v>
      </c>
      <c r="C5" s="25">
        <v>46249</v>
      </c>
      <c r="D5" s="23" t="s">
        <v>69</v>
      </c>
    </row>
    <row r="6" spans="1:4" x14ac:dyDescent="0.25">
      <c r="A6" s="23" t="s">
        <v>64</v>
      </c>
      <c r="B6" s="23">
        <v>50</v>
      </c>
      <c r="C6" s="25">
        <v>46250</v>
      </c>
      <c r="D6" s="23" t="s">
        <v>70</v>
      </c>
    </row>
    <row r="7" spans="1:4" x14ac:dyDescent="0.25">
      <c r="A7" s="23" t="s">
        <v>65</v>
      </c>
      <c r="B7" s="23">
        <v>60</v>
      </c>
      <c r="C7" s="25">
        <v>46251</v>
      </c>
      <c r="D7" s="23" t="s">
        <v>71</v>
      </c>
    </row>
    <row r="8" spans="1:4" x14ac:dyDescent="0.25">
      <c r="A8" s="23" t="s">
        <v>66</v>
      </c>
      <c r="B8" s="23">
        <v>70</v>
      </c>
      <c r="C8" s="25">
        <v>46252</v>
      </c>
      <c r="D8" s="23" t="s">
        <v>72</v>
      </c>
    </row>
    <row r="9" spans="1:4" x14ac:dyDescent="0.25">
      <c r="D9" s="23" t="s">
        <v>73</v>
      </c>
    </row>
    <row r="10" spans="1:4" x14ac:dyDescent="0.25">
      <c r="D10" s="23" t="s">
        <v>74</v>
      </c>
    </row>
    <row r="11" spans="1:4" x14ac:dyDescent="0.25">
      <c r="D11" s="23" t="s">
        <v>75</v>
      </c>
    </row>
    <row r="12" spans="1:4" x14ac:dyDescent="0.25">
      <c r="D12" s="23" t="s">
        <v>76</v>
      </c>
    </row>
    <row r="13" spans="1:4" x14ac:dyDescent="0.25">
      <c r="D13" s="23" t="s">
        <v>77</v>
      </c>
    </row>
  </sheetData>
  <phoneticPr fontId="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A24F8-90E6-4A82-B848-C9AF0A3A3D1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salesrelative</vt:lpstr>
      <vt:lpstr>STUDENTMARKS</vt:lpstr>
      <vt:lpstr>Sheet6</vt:lpstr>
      <vt:lpstr>Sheet3</vt:lpstr>
      <vt:lpstr>Sheet5</vt:lpstr>
      <vt:lpstr>PIVOT TABLE</vt:lpstr>
      <vt:lpstr>Sheet9</vt:lpstr>
      <vt:lpstr>conditional</vt:lpstr>
      <vt:lpstr>Sheet7</vt:lpstr>
      <vt:lpstr>Employees</vt:lpstr>
      <vt:lpstr>TASKS</vt:lpstr>
      <vt:lpstr>Fiction</vt:lpstr>
      <vt:lpstr>Academics</vt:lpstr>
      <vt:lpstr>Orders</vt:lpstr>
      <vt:lpstr>TASKS (2)</vt:lpstr>
      <vt:lpstr>Sheet1</vt:lpstr>
      <vt:lpstr>Sheet2</vt:lpstr>
      <vt:lpstr>Autofill Task</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Poojary</dc:creator>
  <cp:lastModifiedBy>Ankit Poojary</cp:lastModifiedBy>
  <dcterms:created xsi:type="dcterms:W3CDTF">2026-08-12T05:05:25Z</dcterms:created>
  <dcterms:modified xsi:type="dcterms:W3CDTF">2026-08-19T06:42:47Z</dcterms:modified>
</cp:coreProperties>
</file>