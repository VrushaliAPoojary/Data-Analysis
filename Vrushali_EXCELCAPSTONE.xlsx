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4SN22AI062VAP\StayEase-Data-Analysis\"/>
    </mc:Choice>
  </mc:AlternateContent>
  <xr:revisionPtr revIDLastSave="0" documentId="13_ncr:1_{A0F0D378-9B5A-4659-80A7-8CFE489B78C4}" xr6:coauthVersionLast="47" xr6:coauthVersionMax="47" xr10:uidLastSave="{00000000-0000-0000-0000-000000000000}"/>
  <bookViews>
    <workbookView xWindow="-120" yWindow="-120" windowWidth="29040" windowHeight="15720" xr2:uid="{F036FA5B-175E-4E39-BD5B-35A3B8A5B678}"/>
  </bookViews>
  <sheets>
    <sheet name="Dashboard" sheetId="3" r:id="rId1"/>
    <sheet name="Sales raw" sheetId="1" r:id="rId2"/>
    <sheet name="Budget" sheetId="2" r:id="rId3"/>
  </sheets>
  <definedNames>
    <definedName name="NativeTimeline_Sales_Date">#N/A</definedName>
    <definedName name="Slicer_Department">#N/A</definedName>
    <definedName name="Slicer_Location">#N/A</definedName>
  </definedNames>
  <calcPr calcId="18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 i="1" l="1"/>
  <c r="L9" i="1"/>
  <c r="L3" i="1"/>
  <c r="L7" i="1"/>
  <c r="L4" i="1"/>
  <c r="L10" i="1"/>
  <c r="L8" i="1"/>
  <c r="L2" i="1"/>
  <c r="L5" i="1"/>
  <c r="K6" i="1"/>
  <c r="K9" i="1"/>
  <c r="K3" i="1"/>
  <c r="K7" i="1"/>
  <c r="K4" i="1"/>
  <c r="K10" i="1"/>
  <c r="K8" i="1"/>
  <c r="K2" i="1"/>
  <c r="K5" i="1"/>
  <c r="J6" i="1"/>
  <c r="J9" i="1"/>
  <c r="J3" i="1"/>
  <c r="J7" i="1"/>
  <c r="J4" i="1"/>
  <c r="J10" i="1"/>
  <c r="J8" i="1"/>
  <c r="J2" i="1"/>
  <c r="J5" i="1"/>
  <c r="H9" i="1"/>
  <c r="I9" i="1" s="1"/>
  <c r="H3" i="1"/>
  <c r="I3" i="1" s="1"/>
  <c r="H7" i="1"/>
  <c r="I7" i="1" s="1"/>
  <c r="H4" i="1"/>
  <c r="I4" i="1" s="1"/>
  <c r="H10" i="1"/>
  <c r="I10" i="1" s="1"/>
  <c r="H8" i="1"/>
  <c r="I8" i="1" s="1"/>
  <c r="H2" i="1"/>
  <c r="I2" i="1" s="1"/>
  <c r="H5" i="1"/>
  <c r="I5" i="1" s="1"/>
  <c r="H6" i="1"/>
  <c r="I6" i="1" s="1"/>
</calcChain>
</file>

<file path=xl/sharedStrings.xml><?xml version="1.0" encoding="utf-8"?>
<sst xmlns="http://schemas.openxmlformats.org/spreadsheetml/2006/main" count="81" uniqueCount="52">
  <si>
    <t>Employee ID</t>
  </si>
  <si>
    <t>Employee Name</t>
  </si>
  <si>
    <t>Department</t>
  </si>
  <si>
    <t>Location</t>
  </si>
  <si>
    <t>Product</t>
  </si>
  <si>
    <t>Sales</t>
  </si>
  <si>
    <t>Sales Date</t>
  </si>
  <si>
    <t>NR-2023-101</t>
  </si>
  <si>
    <t>Rahul Verma</t>
  </si>
  <si>
    <t>Mangalore</t>
  </si>
  <si>
    <t>Laptop</t>
  </si>
  <si>
    <t>NR-2023-102</t>
  </si>
  <si>
    <t>HR</t>
  </si>
  <si>
    <t>Udupi</t>
  </si>
  <si>
    <t>Chair</t>
  </si>
  <si>
    <t>NR-2023-103</t>
  </si>
  <si>
    <t>Arjun Shetty</t>
  </si>
  <si>
    <t>Mouse</t>
  </si>
  <si>
    <t>NR-2023-104</t>
  </si>
  <si>
    <t>Megha Pai</t>
  </si>
  <si>
    <t>Finance</t>
  </si>
  <si>
    <t>NR-2023-105</t>
  </si>
  <si>
    <t>Kiran Bhat</t>
  </si>
  <si>
    <t>Monitor</t>
  </si>
  <si>
    <t>NR-2023-106</t>
  </si>
  <si>
    <t>Manipal</t>
  </si>
  <si>
    <t>NR-2023-107</t>
  </si>
  <si>
    <t>Rohit Kumar</t>
  </si>
  <si>
    <t>NR-2023-108</t>
  </si>
  <si>
    <t>Meena Shetty</t>
  </si>
  <si>
    <t>NR-2023-109</t>
  </si>
  <si>
    <t>Annual Budget</t>
  </si>
  <si>
    <t>Data Quality Issues</t>
  </si>
  <si>
    <t>Duplicate record: NR-2023-103</t>
  </si>
  <si>
    <t>Extra spaces in Employee Name</t>
  </si>
  <si>
    <t>Missing Location for Megha Pai</t>
  </si>
  <si>
    <t>Missing Sales for Rohit Kumar</t>
  </si>
  <si>
    <t>Priya Nair</t>
  </si>
  <si>
    <t>Anjali Rao</t>
  </si>
  <si>
    <t>Sneha D'Souza</t>
  </si>
  <si>
    <t>Bonus Rate</t>
  </si>
  <si>
    <t>Bonus %</t>
  </si>
  <si>
    <t>Bonus Amount</t>
  </si>
  <si>
    <t>Dept Budget</t>
  </si>
  <si>
    <t>Branch Code</t>
  </si>
  <si>
    <t>Join Year</t>
  </si>
  <si>
    <t>filter department</t>
  </si>
  <si>
    <t>filter location</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</si>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</sst>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Times New Roman"/>
      <family val="1"/>
    </font>
    <font>
      <sz val="12"/>
      <color theme="1"/>
      <name val="Calibri"/>
      <family val="2"/>
      <scheme val="minor"/>
    </font>
    <font>
      <sz val="12"/>
      <color rgb="FF000000"/>
      <name val="Times New Roman"/>
      <family val="1"/>
    </font>
    <font>
      <sz val="12"/>
      <color theme="1"/>
      <name val="Times New Roman"/>
      <family val="1"/>
    </font>
  </fonts>
  <fills count="6">
    <fill>
      <patternFill patternType="none"/>
    </fill>
    <fill>
      <patternFill patternType="gray125"/>
    </fill>
    <fill>
      <patternFill patternType="solid">
        <fgColor rgb="FF2E5B6E"/>
        <bgColor indexed="64"/>
      </patternFill>
    </fill>
    <fill>
      <patternFill patternType="solid">
        <fgColor rgb="FFF7F9FA"/>
        <bgColor indexed="64"/>
      </patternFill>
    </fill>
    <fill>
      <patternFill patternType="solid">
        <fgColor theme="5" tint="-0.249977111117893"/>
        <bgColor indexed="64"/>
      </patternFill>
    </fill>
    <fill>
      <patternFill patternType="solid">
        <fgColor rgb="FFFFFF0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applyAlignment="1">
      <alignment horizont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9" fontId="2" fillId="0" borderId="0" xfId="0" applyNumberFormat="1" applyFont="1" applyAlignment="1">
      <alignment horizontal="center"/>
    </xf>
    <xf numFmtId="2" fontId="4" fillId="3" borderId="0"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5" xfId="0" applyFont="1" applyFill="1" applyBorder="1" applyAlignment="1">
      <alignment horizontal="center" vertical="center" wrapText="1"/>
    </xf>
    <xf numFmtId="14" fontId="3" fillId="3" borderId="5" xfId="0" applyNumberFormat="1" applyFont="1" applyFill="1" applyBorder="1" applyAlignment="1">
      <alignment horizontal="center" vertical="center" wrapText="1"/>
    </xf>
    <xf numFmtId="2" fontId="4" fillId="3" borderId="5" xfId="0" applyNumberFormat="1" applyFont="1" applyFill="1" applyBorder="1" applyAlignment="1">
      <alignment horizontal="center" vertical="center" wrapText="1"/>
    </xf>
    <xf numFmtId="2" fontId="4" fillId="3" borderId="10" xfId="0" applyNumberFormat="1"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14" fontId="4" fillId="0" borderId="5" xfId="0" applyNumberFormat="1" applyFont="1" applyBorder="1" applyAlignment="1">
      <alignment horizontal="center" vertical="center" wrapText="1"/>
    </xf>
    <xf numFmtId="0" fontId="4" fillId="3" borderId="5" xfId="0" applyFont="1" applyFill="1" applyBorder="1" applyAlignment="1">
      <alignment horizontal="center" vertical="center" wrapText="1"/>
    </xf>
    <xf numFmtId="2" fontId="4" fillId="3" borderId="12" xfId="0" applyNumberFormat="1" applyFont="1" applyFill="1" applyBorder="1" applyAlignment="1">
      <alignment horizontal="center" vertical="center" wrapText="1"/>
    </xf>
    <xf numFmtId="2" fontId="4" fillId="3" borderId="13" xfId="0" applyNumberFormat="1"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14" fontId="3" fillId="3" borderId="12" xfId="0" applyNumberFormat="1" applyFont="1" applyFill="1" applyBorder="1" applyAlignment="1">
      <alignment horizontal="center" vertical="center" wrapText="1"/>
    </xf>
    <xf numFmtId="0" fontId="2" fillId="5"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dxf>
    <dxf>
      <font>
        <b/>
        <i val="0"/>
        <strike val="0"/>
        <condense val="0"/>
        <extend val="0"/>
        <outline val="0"/>
        <shadow val="0"/>
        <u val="none"/>
        <vertAlign val="baseline"/>
        <sz val="12"/>
        <color rgb="FFFFFFFF"/>
        <name val="Times New Roman"/>
        <family val="1"/>
        <scheme val="none"/>
      </font>
      <fill>
        <patternFill patternType="solid">
          <fgColor indexed="64"/>
          <bgColor theme="5" tint="-0.24997711111789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9" formatCode="dd/mm/yyyy"/>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[EXCELCAPSTONE.xlsx]Dashboard!PivotTable1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2.5428331875182269E-2"/>
          <c:w val="0.67692825896762909"/>
          <c:h val="0.65853091280256637"/>
        </c:manualLayout>
      </c:layout>
      <c:barChart>
        <c:barDir val="col"/>
        <c:grouping val="clustered"/>
        <c:varyColors val="0"/>
        <c:ser>
          <c:idx val="0"/>
          <c:order val="0"/>
          <c:tx>
            <c:strRef>
              <c:f>Dashboard!$B$3:$B$4</c:f>
              <c:strCache>
                <c:ptCount val="1"/>
                <c:pt idx="0">
                  <c:v>Mangalore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Dashboard!$A$5:$A$8</c:f>
              <c:strCache>
                <c:ptCount val="3"/>
                <c:pt idx="0">
                  <c:v>Finance</c:v>
                </c:pt>
                <c:pt idx="1">
                  <c:v>HR</c:v>
                </c:pt>
                <c:pt idx="2">
                  <c:v>Sales</c:v>
                </c:pt>
              </c:strCache>
            </c:strRef>
          </c:cat>
          <c:val>
            <c:numRef>
              <c:f>Dashboard!$B$5:$B$8</c:f>
              <c:numCache>
                <c:formatCode>General</c:formatCode>
                <c:ptCount val="3"/>
                <c:pt idx="0">
                  <c:v>39000</c:v>
                </c:pt>
                <c:pt idx="2">
                  <c:v>120000</c:v>
                </c:pt>
              </c:numCache>
            </c:numRef>
          </c:val>
          <c:extLst>
            <c:ext xmlns:c16="http://schemas.microsoft.com/office/drawing/2014/chart" uri="{C3380CC4-5D6E-409C-BE32-E72D297353CC}">
              <c16:uniqueId val="{00000000-61B5-49F3-9109-C6D26334FC7B}"/>
            </c:ext>
          </c:extLst>
        </c:ser>
        <c:ser>
          <c:idx val="1"/>
          <c:order val="1"/>
          <c:tx>
            <c:strRef>
              <c:f>Dashboard!$C$3:$C$4</c:f>
              <c:strCache>
                <c:ptCount val="1"/>
                <c:pt idx="0">
                  <c:v>Manipal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Dashboard!$A$5:$A$8</c:f>
              <c:strCache>
                <c:ptCount val="3"/>
                <c:pt idx="0">
                  <c:v>Finance</c:v>
                </c:pt>
                <c:pt idx="1">
                  <c:v>HR</c:v>
                </c:pt>
                <c:pt idx="2">
                  <c:v>Sales</c:v>
                </c:pt>
              </c:strCache>
            </c:strRef>
          </c:cat>
          <c:val>
            <c:numRef>
              <c:f>Dashboard!$C$5:$C$8</c:f>
              <c:numCache>
                <c:formatCode>General</c:formatCode>
                <c:ptCount val="3"/>
                <c:pt idx="0">
                  <c:v>47000</c:v>
                </c:pt>
                <c:pt idx="1">
                  <c:v>29000</c:v>
                </c:pt>
                <c:pt idx="2">
                  <c:v>83000</c:v>
                </c:pt>
              </c:numCache>
            </c:numRef>
          </c:val>
          <c:extLst>
            <c:ext xmlns:c16="http://schemas.microsoft.com/office/drawing/2014/chart" uri="{C3380CC4-5D6E-409C-BE32-E72D297353CC}">
              <c16:uniqueId val="{00000001-61B5-49F3-9109-C6D26334FC7B}"/>
            </c:ext>
          </c:extLst>
        </c:ser>
        <c:ser>
          <c:idx val="2"/>
          <c:order val="2"/>
          <c:tx>
            <c:strRef>
              <c:f>Dashboard!$D$3:$D$4</c:f>
              <c:strCache>
                <c:ptCount val="1"/>
                <c:pt idx="0">
                  <c:v>Udupi</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Dashboard!$A$5:$A$8</c:f>
              <c:strCache>
                <c:ptCount val="3"/>
                <c:pt idx="0">
                  <c:v>Finance</c:v>
                </c:pt>
                <c:pt idx="1">
                  <c:v>HR</c:v>
                </c:pt>
                <c:pt idx="2">
                  <c:v>Sales</c:v>
                </c:pt>
              </c:strCache>
            </c:strRef>
          </c:cat>
          <c:val>
            <c:numRef>
              <c:f>Dashboard!$D$5:$D$8</c:f>
              <c:numCache>
                <c:formatCode>General</c:formatCode>
                <c:ptCount val="3"/>
                <c:pt idx="1">
                  <c:v>85000</c:v>
                </c:pt>
                <c:pt idx="2">
                  <c:v>61000</c:v>
                </c:pt>
              </c:numCache>
            </c:numRef>
          </c:val>
          <c:extLst>
            <c:ext xmlns:c16="http://schemas.microsoft.com/office/drawing/2014/chart" uri="{C3380CC4-5D6E-409C-BE32-E72D297353CC}">
              <c16:uniqueId val="{00000004-61B5-49F3-9109-C6D26334FC7B}"/>
            </c:ext>
          </c:extLst>
        </c:ser>
        <c:dLbls>
          <c:showLegendKey val="0"/>
          <c:showVal val="0"/>
          <c:showCatName val="0"/>
          <c:showSerName val="0"/>
          <c:showPercent val="0"/>
          <c:showBubbleSize val="0"/>
        </c:dLbls>
        <c:gapWidth val="315"/>
        <c:overlap val="-40"/>
        <c:axId val="606792840"/>
        <c:axId val="606793200"/>
      </c:barChart>
      <c:catAx>
        <c:axId val="606792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6793200"/>
        <c:crosses val="autoZero"/>
        <c:auto val="1"/>
        <c:lblAlgn val="ctr"/>
        <c:lblOffset val="100"/>
        <c:noMultiLvlLbl val="0"/>
      </c:catAx>
      <c:valAx>
        <c:axId val="606793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6792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304800</xdr:colOff>
      <xdr:row>1</xdr:row>
      <xdr:rowOff>176212</xdr:rowOff>
    </xdr:from>
    <xdr:to>
      <xdr:col>14</xdr:col>
      <xdr:colOff>0</xdr:colOff>
      <xdr:row>16</xdr:row>
      <xdr:rowOff>61912</xdr:rowOff>
    </xdr:to>
    <xdr:graphicFrame macro="">
      <xdr:nvGraphicFramePr>
        <xdr:cNvPr id="2" name="Chart 1">
          <a:extLst>
            <a:ext uri="{FF2B5EF4-FFF2-40B4-BE49-F238E27FC236}">
              <a16:creationId xmlns:a16="http://schemas.microsoft.com/office/drawing/2014/main" id="{1B11641E-9F8C-9C91-9B41-0400EE771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200025</xdr:colOff>
      <xdr:row>17</xdr:row>
      <xdr:rowOff>57150</xdr:rowOff>
    </xdr:from>
    <xdr:to>
      <xdr:col>9</xdr:col>
      <xdr:colOff>200025</xdr:colOff>
      <xdr:row>30</xdr:row>
      <xdr:rowOff>104775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E6A90F0-173D-67D5-DB2B-8A83B0EBB36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543425" y="3295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17</xdr:row>
      <xdr:rowOff>38100</xdr:rowOff>
    </xdr:from>
    <xdr:to>
      <xdr:col>12</xdr:col>
      <xdr:colOff>419100</xdr:colOff>
      <xdr:row>30</xdr:row>
      <xdr:rowOff>85725</xdr:rowOff>
    </xdr:to>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5A2934C6-DF09-7FCF-A97F-6AF6FAD06E3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591300" y="3276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19050</xdr:rowOff>
    </xdr:from>
    <xdr:to>
      <xdr:col>4</xdr:col>
      <xdr:colOff>352425</xdr:colOff>
      <xdr:row>17</xdr:row>
      <xdr:rowOff>57150</xdr:rowOff>
    </xdr:to>
    <mc:AlternateContent xmlns:mc="http://schemas.openxmlformats.org/markup-compatibility/2006">
      <mc:Choice xmlns:tsle="http://schemas.microsoft.com/office/drawing/2012/timeslicer" Requires="tsle">
        <xdr:graphicFrame macro="">
          <xdr:nvGraphicFramePr>
            <xdr:cNvPr id="5" name="Sales Date">
              <a:extLst>
                <a:ext uri="{FF2B5EF4-FFF2-40B4-BE49-F238E27FC236}">
                  <a16:creationId xmlns:a16="http://schemas.microsoft.com/office/drawing/2014/main" id="{15D4ED48-CEF9-A693-DAEA-07DC432A7FAC}"/>
                </a:ext>
              </a:extLst>
            </xdr:cNvPr>
            <xdr:cNvGraphicFramePr/>
          </xdr:nvGraphicFramePr>
          <xdr:xfrm>
            <a:off x="0" y="0"/>
            <a:ext cx="0" cy="0"/>
          </xdr:xfrm>
          <a:graphic>
            <a:graphicData uri="http://schemas.microsoft.com/office/drawing/2012/timeslicer">
              <tsle:timeslicer xmlns:tsle="http://schemas.microsoft.com/office/drawing/2012/timeslicer" name="Sales Date"/>
            </a:graphicData>
          </a:graphic>
        </xdr:graphicFrame>
      </mc:Choice>
      <mc:Fallback>
        <xdr:sp macro="" textlink="">
          <xdr:nvSpPr>
            <xdr:cNvPr id="0" name=""/>
            <xdr:cNvSpPr>
              <a:spLocks noTextEdit="1"/>
            </xdr:cNvSpPr>
          </xdr:nvSpPr>
          <xdr:spPr>
            <a:xfrm>
              <a:off x="0" y="19240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95251</xdr:rowOff>
    </xdr:from>
    <xdr:to>
      <xdr:col>7</xdr:col>
      <xdr:colOff>77391</xdr:colOff>
      <xdr:row>21</xdr:row>
      <xdr:rowOff>95251</xdr:rowOff>
    </xdr:to>
    <xdr:pic>
      <xdr:nvPicPr>
        <xdr:cNvPr id="2" name="Picture 1">
          <a:extLst>
            <a:ext uri="{FF2B5EF4-FFF2-40B4-BE49-F238E27FC236}">
              <a16:creationId xmlns:a16="http://schemas.microsoft.com/office/drawing/2014/main" id="{C965AE1A-9830-100E-96D6-9B117BBBF510}"/>
            </a:ext>
          </a:extLst>
        </xdr:cNvPr>
        <xdr:cNvPicPr>
          <a:picLocks noChangeAspect="1"/>
        </xdr:cNvPicPr>
      </xdr:nvPicPr>
      <xdr:blipFill>
        <a:blip xmlns:r="http://schemas.openxmlformats.org/officeDocument/2006/relationships" r:embed="rId1"/>
        <a:stretch>
          <a:fillRect/>
        </a:stretch>
      </xdr:blipFill>
      <xdr:spPr>
        <a:xfrm>
          <a:off x="0" y="5695951"/>
          <a:ext cx="8535591" cy="2800350"/>
        </a:xfrm>
        <a:prstGeom prst="rect">
          <a:avLst/>
        </a:prstGeom>
      </xdr:spPr>
    </xdr:pic>
    <xdr:clientData/>
  </xdr:twoCellAnchor>
  <xdr:twoCellAnchor editAs="oneCell">
    <xdr:from>
      <xdr:col>0</xdr:col>
      <xdr:colOff>0</xdr:colOff>
      <xdr:row>22</xdr:row>
      <xdr:rowOff>0</xdr:rowOff>
    </xdr:from>
    <xdr:to>
      <xdr:col>7</xdr:col>
      <xdr:colOff>29760</xdr:colOff>
      <xdr:row>31</xdr:row>
      <xdr:rowOff>19292</xdr:rowOff>
    </xdr:to>
    <xdr:pic>
      <xdr:nvPicPr>
        <xdr:cNvPr id="3" name="Picture 2">
          <a:extLst>
            <a:ext uri="{FF2B5EF4-FFF2-40B4-BE49-F238E27FC236}">
              <a16:creationId xmlns:a16="http://schemas.microsoft.com/office/drawing/2014/main" id="{F6DB225E-88B7-1CAD-E09F-2D506DB72F63}"/>
            </a:ext>
          </a:extLst>
        </xdr:cNvPr>
        <xdr:cNvPicPr>
          <a:picLocks noChangeAspect="1"/>
        </xdr:cNvPicPr>
      </xdr:nvPicPr>
      <xdr:blipFill>
        <a:blip xmlns:r="http://schemas.openxmlformats.org/officeDocument/2006/relationships" r:embed="rId2"/>
        <a:stretch>
          <a:fillRect/>
        </a:stretch>
      </xdr:blipFill>
      <xdr:spPr>
        <a:xfrm>
          <a:off x="0" y="6400800"/>
          <a:ext cx="8487960" cy="17337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6253.984117939814" createdVersion="8" refreshedVersion="8" minRefreshableVersion="3" recordCount="9" xr:uid="{D3B63E71-7196-4111-A9CE-D1B427C1BCF9}">
  <cacheSource type="worksheet">
    <worksheetSource name="SalesTbl[[Employee ID]:[Sales Date]]"/>
  </cacheSource>
  <cacheFields count="7">
    <cacheField name="Employee ID" numFmtId="0">
      <sharedItems/>
    </cacheField>
    <cacheField name="Employee Name" numFmtId="0">
      <sharedItems/>
    </cacheField>
    <cacheField name="Department" numFmtId="0">
      <sharedItems count="3">
        <s v="Sales"/>
        <s v="HR"/>
        <s v="Finance"/>
      </sharedItems>
    </cacheField>
    <cacheField name="Location" numFmtId="0">
      <sharedItems count="3">
        <s v="Manipal"/>
        <s v="Mangalore"/>
        <s v="Udupi"/>
      </sharedItems>
    </cacheField>
    <cacheField name="Product" numFmtId="0">
      <sharedItems/>
    </cacheField>
    <cacheField name="Sales" numFmtId="0">
      <sharedItems containsSemiMixedTypes="0" containsString="0" containsNumber="1" containsInteger="1" minValue="29000" maxValue="83000"/>
    </cacheField>
    <cacheField name="Sales Date" numFmtId="14">
      <sharedItems containsSemiMixedTypes="0" containsNonDate="0" containsDate="1" containsString="0" minDate="2026-01-05T00:00:00" maxDate="2026-03-26T00:00:00" count="9">
        <d v="2026-03-18T00:00:00"/>
        <d v="2026-01-20T00:00:00"/>
        <d v="2026-02-14T00:00:00"/>
        <d v="2026-03-25T00:00:00"/>
        <d v="2026-01-05T00:00:00"/>
        <d v="2026-02-02T00:00:00"/>
        <d v="2026-03-03T00:00:00"/>
        <d v="2026-01-12T00:00:00"/>
        <d v="2026-02-22T00:00:00"/>
      </sharedItems>
    </cacheField>
  </cacheFields>
  <extLst>
    <ext xmlns:x14="http://schemas.microsoft.com/office/spreadsheetml/2009/9/main" uri="{725AE2AE-9491-48be-B2B4-4EB974FC3084}">
      <x14:pivotCacheDefinition pivotCacheId="583809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NR-2023-108"/>
    <s v="Meena Shetty"/>
    <x v="0"/>
    <x v="0"/>
    <s v="Monitor"/>
    <n v="83000"/>
    <x v="0"/>
  </r>
  <r>
    <s v="NR-2023-103"/>
    <s v="Arjun Shetty"/>
    <x v="0"/>
    <x v="1"/>
    <s v="Mouse"/>
    <n v="68000"/>
    <x v="1"/>
  </r>
  <r>
    <s v="NR-2023-105"/>
    <s v="Kiran Bhat"/>
    <x v="0"/>
    <x v="2"/>
    <s v="Monitor"/>
    <n v="61000"/>
    <x v="2"/>
  </r>
  <r>
    <s v="NR-2023-109"/>
    <s v="Sneha D'Souza"/>
    <x v="1"/>
    <x v="2"/>
    <s v="Laptop"/>
    <n v="54000"/>
    <x v="3"/>
  </r>
  <r>
    <s v="NR-2023-101"/>
    <s v="Rahul Verma"/>
    <x v="0"/>
    <x v="1"/>
    <s v="Laptop"/>
    <n v="52000"/>
    <x v="4"/>
  </r>
  <r>
    <s v="NR-2023-104"/>
    <s v="Megha Pai"/>
    <x v="2"/>
    <x v="0"/>
    <s v="Laptop"/>
    <n v="47000"/>
    <x v="5"/>
  </r>
  <r>
    <s v="NR-2023-107"/>
    <s v="Rohit Kumar"/>
    <x v="2"/>
    <x v="1"/>
    <s v="Mouse"/>
    <n v="39000"/>
    <x v="6"/>
  </r>
  <r>
    <s v="NR-2023-102"/>
    <s v="Priya Nair"/>
    <x v="1"/>
    <x v="2"/>
    <s v="Chair"/>
    <n v="31000"/>
    <x v="7"/>
  </r>
  <r>
    <s v="NR-2023-106"/>
    <s v="Anjali Rao"/>
    <x v="1"/>
    <x v="0"/>
    <s v="Chair"/>
    <n v="290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F7739-C2DA-487A-A716-7ABA20DEBAAF}"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E8" firstHeaderRow="1" firstDataRow="2" firstDataCol="1"/>
  <pivotFields count="7">
    <pivotField showAll="0"/>
    <pivotField showAll="0"/>
    <pivotField axis="axisRow" showAll="0">
      <items count="4">
        <item x="2"/>
        <item x="1"/>
        <item x="0"/>
        <item t="default"/>
      </items>
    </pivotField>
    <pivotField axis="axisCol" showAll="0">
      <items count="4">
        <item x="1"/>
        <item x="0"/>
        <item x="2"/>
        <item t="default"/>
      </items>
    </pivotField>
    <pivotField showAll="0"/>
    <pivotField dataField="1" showAll="0"/>
    <pivotField numFmtId="14" showAll="0">
      <items count="10">
        <item x="4"/>
        <item x="7"/>
        <item x="1"/>
        <item x="5"/>
        <item x="2"/>
        <item x="8"/>
        <item x="6"/>
        <item x="0"/>
        <item x="3"/>
        <item t="default"/>
      </items>
    </pivotField>
  </pivotFields>
  <rowFields count="1">
    <field x="2"/>
  </rowFields>
  <rowItems count="4">
    <i>
      <x/>
    </i>
    <i>
      <x v="1"/>
    </i>
    <i>
      <x v="2"/>
    </i>
    <i t="grand">
      <x/>
    </i>
  </rowItems>
  <colFields count="1">
    <field x="3"/>
  </colFields>
  <colItems count="4">
    <i>
      <x/>
    </i>
    <i>
      <x v="1"/>
    </i>
    <i>
      <x v="2"/>
    </i>
    <i t="grand">
      <x/>
    </i>
  </colItems>
  <dataFields count="1">
    <dataField name="Sum of Sales" fld="5" baseField="0" baseItem="0"/>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6" type="dateBetween" evalOrder="-1" id="6" name="Sales Date">
      <autoFilter ref="A1">
        <filterColumn colId="0">
          <customFilters and="1">
            <customFilter operator="greaterThanOrEqual" val="46023"/>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40BF030-ACD4-4BD6-A8BB-0D75FC336081}" sourceName="Department">
  <pivotTables>
    <pivotTable tabId="3" name="PivotTable1"/>
  </pivotTables>
  <data>
    <tabular pivotCacheId="58380905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18D9266-7226-4CDC-AD60-ECB1CC21258E}" sourceName="Location">
  <pivotTables>
    <pivotTable tabId="3" name="PivotTable1"/>
  </pivotTables>
  <data>
    <tabular pivotCacheId="58380905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4157773-1889-41A7-B6C7-55F6E482801A}" cache="Slicer_Department" caption="Department" rowHeight="241300"/>
  <slicer name="Location" xr10:uid="{E3BFDC8A-83A0-4AF7-BD17-09AA0CB23D53}"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1E225A-4D19-4A8B-B1DB-59E7150E0090}" name="SalesTbl" displayName="SalesTbl" ref="A1:L10" totalsRowShown="0" headerRowDxfId="3" dataDxfId="16" headerRowBorderDxfId="14" tableBorderDxfId="15" totalsRowBorderDxfId="13">
  <autoFilter ref="A1:L10" xr:uid="{361E225A-4D19-4A8B-B1DB-59E7150E0090}"/>
  <sortState xmlns:xlrd2="http://schemas.microsoft.com/office/spreadsheetml/2017/richdata2" ref="A2:L10">
    <sortCondition descending="1" ref="F1:F10"/>
  </sortState>
  <tableColumns count="12">
    <tableColumn id="1" xr3:uid="{92C28F07-B01D-44A0-9DEF-0C07D1BDBCC6}" name="Employee ID" dataDxfId="12"/>
    <tableColumn id="2" xr3:uid="{EF4B757B-8B64-4F9A-9448-E49D9E1A4AB7}" name="Employee Name" dataDxfId="11"/>
    <tableColumn id="3" xr3:uid="{44100450-E45A-40C3-A6D0-B11BEE98CAEC}" name="Department" dataDxfId="10"/>
    <tableColumn id="4" xr3:uid="{16D8F358-2DFA-464F-8A77-382AEB66572C}" name="Location" dataDxfId="9"/>
    <tableColumn id="5" xr3:uid="{FF2DB071-1A49-4BEC-AC5F-B3B1E8233AA6}" name="Product" dataDxfId="8"/>
    <tableColumn id="6" xr3:uid="{4888EBA6-3DBD-4D7F-BE07-18480C34A9A0}" name="Sales" dataDxfId="7"/>
    <tableColumn id="7" xr3:uid="{570A28C3-4FD2-482C-B407-6D3F02FB0818}" name="Sales Date" dataDxfId="6"/>
    <tableColumn id="9" xr3:uid="{00E42EF7-4D59-4269-8BB3-F3C3D92BDC81}" name="Bonus %" dataDxfId="5">
      <calculatedColumnFormula>IF(F2&gt;60000,$Q$2,$Q$2/2)</calculatedColumnFormula>
    </tableColumn>
    <tableColumn id="10" xr3:uid="{A021A65D-B618-45A8-A2AA-2AF71CE4F50C}" name="Bonus Amount" dataDxfId="4">
      <calculatedColumnFormula>F2*H2</calculatedColumnFormula>
    </tableColumn>
    <tableColumn id="11" xr3:uid="{2F5FCAB0-4E2B-4A92-BB88-67FDB9FFB97B}" name="Dept Budget" dataDxfId="2">
      <calculatedColumnFormula>IFERROR(VLOOKUP(C2,Budget!$A$2:$B$4,2,FALSE),"Not Found")</calculatedColumnFormula>
    </tableColumn>
    <tableColumn id="12" xr3:uid="{DD42B8E2-9562-471A-9156-41182F000F60}" name="Branch Code" dataDxfId="1">
      <calculatedColumnFormula>LEFT(A2,2)</calculatedColumnFormula>
    </tableColumn>
    <tableColumn id="13" xr3:uid="{73A438E1-63B7-4B7D-9A39-755E6AC35EEB}" name="Join Year" dataDxfId="0">
      <calculatedColumnFormula>MID(A2,4,4)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Date" xr10:uid="{C323B690-FC9E-4479-B36C-780014967967}" sourceName="Sales Date">
  <pivotTables>
    <pivotTable tabId="3" name="PivotTable1"/>
  </pivotTables>
  <state minimalRefreshVersion="6" lastRefreshVersion="6" pivotCacheId="583809059" filterType="dateBetween">
    <selection startDate="2026-01-01T00:00:00" endDate="2026-03-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5E9E4331-1CC7-4EA3-B219-EEF8CFF2402C}" cache="NativeTimeline_Sales_Date" caption="Sales Date" level="2" selectionLevel="1"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D9ECB-5E3D-4E50-8D17-B27D7CC0F397}">
  <dimension ref="A3:E8"/>
  <sheetViews>
    <sheetView tabSelected="1" workbookViewId="0">
      <selection activeCell="C6" sqref="C6"/>
    </sheetView>
  </sheetViews>
  <sheetFormatPr defaultRowHeight="15" x14ac:dyDescent="0.25"/>
  <cols>
    <col min="1" max="1" width="13.140625" bestFit="1" customWidth="1"/>
    <col min="2" max="2" width="16.28515625" bestFit="1" customWidth="1"/>
    <col min="3" max="3" width="8.28515625" bestFit="1" customWidth="1"/>
    <col min="4" max="4" width="7" bestFit="1" customWidth="1"/>
    <col min="5" max="5" width="11.28515625" bestFit="1" customWidth="1"/>
  </cols>
  <sheetData>
    <row r="3" spans="1:5" x14ac:dyDescent="0.25">
      <c r="A3" s="28" t="s">
        <v>51</v>
      </c>
      <c r="B3" s="28" t="s">
        <v>50</v>
      </c>
    </row>
    <row r="4" spans="1:5" x14ac:dyDescent="0.25">
      <c r="A4" s="28" t="s">
        <v>48</v>
      </c>
      <c r="B4" t="s">
        <v>9</v>
      </c>
      <c r="C4" t="s">
        <v>25</v>
      </c>
      <c r="D4" t="s">
        <v>13</v>
      </c>
      <c r="E4" t="s">
        <v>49</v>
      </c>
    </row>
    <row r="5" spans="1:5" x14ac:dyDescent="0.25">
      <c r="A5" s="29" t="s">
        <v>20</v>
      </c>
      <c r="B5" s="30">
        <v>39000</v>
      </c>
      <c r="C5" s="30">
        <v>47000</v>
      </c>
      <c r="D5" s="30"/>
      <c r="E5" s="30">
        <v>86000</v>
      </c>
    </row>
    <row r="6" spans="1:5" x14ac:dyDescent="0.25">
      <c r="A6" s="29" t="s">
        <v>12</v>
      </c>
      <c r="B6" s="30"/>
      <c r="C6" s="30">
        <v>29000</v>
      </c>
      <c r="D6" s="30">
        <v>85000</v>
      </c>
      <c r="E6" s="30">
        <v>114000</v>
      </c>
    </row>
    <row r="7" spans="1:5" x14ac:dyDescent="0.25">
      <c r="A7" s="29" t="s">
        <v>5</v>
      </c>
      <c r="B7" s="30">
        <v>120000</v>
      </c>
      <c r="C7" s="30">
        <v>83000</v>
      </c>
      <c r="D7" s="30">
        <v>61000</v>
      </c>
      <c r="E7" s="30">
        <v>264000</v>
      </c>
    </row>
    <row r="8" spans="1:5" x14ac:dyDescent="0.25">
      <c r="A8" s="29" t="s">
        <v>49</v>
      </c>
      <c r="B8" s="30">
        <v>159000</v>
      </c>
      <c r="C8" s="30">
        <v>159000</v>
      </c>
      <c r="D8" s="30">
        <v>146000</v>
      </c>
      <c r="E8" s="30">
        <v>464000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487F-9A45-496A-B276-04A22F8D66A2}">
  <dimension ref="A1:Q22"/>
  <sheetViews>
    <sheetView workbookViewId="0">
      <pane xSplit="1" ySplit="1" topLeftCell="B2" activePane="bottomRight" state="frozen"/>
      <selection pane="topRight" activeCell="B1" sqref="B1"/>
      <selection pane="bottomLeft" activeCell="A2" sqref="A2"/>
      <selection pane="bottomRight" activeCell="C4" sqref="C4"/>
    </sheetView>
  </sheetViews>
  <sheetFormatPr defaultRowHeight="15" x14ac:dyDescent="0.25"/>
  <cols>
    <col min="1" max="1" width="18" customWidth="1"/>
    <col min="2" max="2" width="18.85546875" customWidth="1"/>
    <col min="3" max="13" width="18" customWidth="1"/>
    <col min="15" max="15" width="14.5703125" customWidth="1"/>
    <col min="16" max="23" width="18.42578125" customWidth="1"/>
  </cols>
  <sheetData>
    <row r="1" spans="1:17" s="3" customFormat="1" ht="31.5" customHeight="1" x14ac:dyDescent="0.25">
      <c r="A1" s="10" t="s">
        <v>0</v>
      </c>
      <c r="B1" s="11" t="s">
        <v>1</v>
      </c>
      <c r="C1" s="11" t="s">
        <v>2</v>
      </c>
      <c r="D1" s="11" t="s">
        <v>3</v>
      </c>
      <c r="E1" s="11" t="s">
        <v>4</v>
      </c>
      <c r="F1" s="11" t="s">
        <v>5</v>
      </c>
      <c r="G1" s="11" t="s">
        <v>6</v>
      </c>
      <c r="H1" s="11" t="s">
        <v>41</v>
      </c>
      <c r="I1" s="12" t="s">
        <v>42</v>
      </c>
      <c r="J1" s="11" t="s">
        <v>43</v>
      </c>
      <c r="K1" s="11" t="s">
        <v>44</v>
      </c>
      <c r="L1" s="11" t="s">
        <v>45</v>
      </c>
      <c r="N1" s="3" t="s">
        <v>32</v>
      </c>
      <c r="Q1" s="3" t="s">
        <v>40</v>
      </c>
    </row>
    <row r="2" spans="1:17" s="3" customFormat="1" ht="31.5" customHeight="1" x14ac:dyDescent="0.25">
      <c r="A2" s="13" t="s">
        <v>28</v>
      </c>
      <c r="B2" s="14" t="s">
        <v>29</v>
      </c>
      <c r="C2" s="14" t="s">
        <v>5</v>
      </c>
      <c r="D2" s="14" t="s">
        <v>25</v>
      </c>
      <c r="E2" s="14" t="s">
        <v>23</v>
      </c>
      <c r="F2" s="14">
        <v>83000</v>
      </c>
      <c r="G2" s="15">
        <v>46099</v>
      </c>
      <c r="H2" s="16">
        <f>IF(F2&gt;60000,$Q$2,$Q$2/2)</f>
        <v>0.1</v>
      </c>
      <c r="I2" s="17">
        <f>F2*H2</f>
        <v>8300</v>
      </c>
      <c r="J2" s="9">
        <f>IFERROR(VLOOKUP(C2,Budget!$A$2:$B$4,2,FALSE),"Not Found")</f>
        <v>300000</v>
      </c>
      <c r="K2" s="9" t="str">
        <f>LEFT(A2,2)</f>
        <v>NR</v>
      </c>
      <c r="L2" s="9" t="str">
        <f>MID(A2,4,4)</f>
        <v>2023</v>
      </c>
      <c r="N2" s="3" t="s">
        <v>33</v>
      </c>
      <c r="Q2" s="8">
        <v>0.1</v>
      </c>
    </row>
    <row r="3" spans="1:17" s="3" customFormat="1" ht="31.5" customHeight="1" x14ac:dyDescent="0.25">
      <c r="A3" s="13" t="s">
        <v>15</v>
      </c>
      <c r="B3" s="14" t="s">
        <v>16</v>
      </c>
      <c r="C3" s="14" t="s">
        <v>5</v>
      </c>
      <c r="D3" s="14" t="s">
        <v>9</v>
      </c>
      <c r="E3" s="14" t="s">
        <v>17</v>
      </c>
      <c r="F3" s="14">
        <v>68000</v>
      </c>
      <c r="G3" s="15">
        <v>46042</v>
      </c>
      <c r="H3" s="16">
        <f>IF(F3&gt;60000,$Q$2,$Q$2/2)</f>
        <v>0.1</v>
      </c>
      <c r="I3" s="17">
        <f>F3*H3</f>
        <v>6800</v>
      </c>
      <c r="J3" s="9">
        <f>IFERROR(VLOOKUP(C3,Budget!$A$2:$B$4,2,FALSE),"Not Found")</f>
        <v>300000</v>
      </c>
      <c r="K3" s="9" t="str">
        <f>LEFT(A3,2)</f>
        <v>NR</v>
      </c>
      <c r="L3" s="9" t="str">
        <f>MID(A3,4,4)</f>
        <v>2023</v>
      </c>
      <c r="N3" s="3" t="s">
        <v>34</v>
      </c>
    </row>
    <row r="4" spans="1:17" s="3" customFormat="1" ht="31.5" customHeight="1" x14ac:dyDescent="0.25">
      <c r="A4" s="18" t="s">
        <v>21</v>
      </c>
      <c r="B4" s="19" t="s">
        <v>22</v>
      </c>
      <c r="C4" s="19" t="s">
        <v>5</v>
      </c>
      <c r="D4" s="19" t="s">
        <v>13</v>
      </c>
      <c r="E4" s="19" t="s">
        <v>23</v>
      </c>
      <c r="F4" s="19">
        <v>61000</v>
      </c>
      <c r="G4" s="20">
        <v>46067</v>
      </c>
      <c r="H4" s="16">
        <f>IF(F4&gt;60000,$Q$2,$Q$2/2)</f>
        <v>0.1</v>
      </c>
      <c r="I4" s="17">
        <f>F4*H4</f>
        <v>6100</v>
      </c>
      <c r="J4" s="9">
        <f>IFERROR(VLOOKUP(C4,Budget!$A$2:$B$4,2,FALSE),"Not Found")</f>
        <v>300000</v>
      </c>
      <c r="K4" s="9" t="str">
        <f>LEFT(A4,2)</f>
        <v>NR</v>
      </c>
      <c r="L4" s="9" t="str">
        <f>MID(A4,4,4)</f>
        <v>2023</v>
      </c>
      <c r="N4" s="3" t="s">
        <v>35</v>
      </c>
    </row>
    <row r="5" spans="1:17" s="3" customFormat="1" ht="31.5" customHeight="1" x14ac:dyDescent="0.25">
      <c r="A5" s="18" t="s">
        <v>30</v>
      </c>
      <c r="B5" s="19" t="s">
        <v>39</v>
      </c>
      <c r="C5" s="19" t="s">
        <v>12</v>
      </c>
      <c r="D5" s="19" t="s">
        <v>13</v>
      </c>
      <c r="E5" s="19" t="s">
        <v>10</v>
      </c>
      <c r="F5" s="19">
        <v>54000</v>
      </c>
      <c r="G5" s="20">
        <v>46106</v>
      </c>
      <c r="H5" s="16">
        <f>IF(F5&gt;60000,$Q$2,$Q$2/2)</f>
        <v>0.05</v>
      </c>
      <c r="I5" s="17">
        <f>F5*H5</f>
        <v>2700</v>
      </c>
      <c r="J5" s="9">
        <f>IFERROR(VLOOKUP(C5,Budget!$A$2:$B$4,2,FALSE),"Not Found")</f>
        <v>120000</v>
      </c>
      <c r="K5" s="9" t="str">
        <f>LEFT(A5,2)</f>
        <v>NR</v>
      </c>
      <c r="L5" s="9" t="str">
        <f>MID(A5,4,4)</f>
        <v>2023</v>
      </c>
      <c r="N5" s="3" t="s">
        <v>36</v>
      </c>
    </row>
    <row r="6" spans="1:17" s="3" customFormat="1" ht="31.5" customHeight="1" x14ac:dyDescent="0.25">
      <c r="A6" s="13" t="s">
        <v>7</v>
      </c>
      <c r="B6" s="14" t="s">
        <v>8</v>
      </c>
      <c r="C6" s="14" t="s">
        <v>5</v>
      </c>
      <c r="D6" s="14" t="s">
        <v>9</v>
      </c>
      <c r="E6" s="14" t="s">
        <v>10</v>
      </c>
      <c r="F6" s="14">
        <v>52000</v>
      </c>
      <c r="G6" s="15">
        <v>46027</v>
      </c>
      <c r="H6" s="16">
        <f>IF(F6&gt;60000,$Q$2,$Q$2/2)</f>
        <v>0.05</v>
      </c>
      <c r="I6" s="17">
        <f>F6*H6</f>
        <v>2600</v>
      </c>
      <c r="J6" s="9">
        <f>IFERROR(VLOOKUP(C6,Budget!$A$2:$B$4,2,FALSE),"Not Found")</f>
        <v>300000</v>
      </c>
      <c r="K6" s="9" t="str">
        <f>LEFT(A6,2)</f>
        <v>NR</v>
      </c>
      <c r="L6" s="9" t="str">
        <f>MID(A6,4,4)</f>
        <v>2023</v>
      </c>
    </row>
    <row r="7" spans="1:17" s="3" customFormat="1" ht="31.5" customHeight="1" x14ac:dyDescent="0.25">
      <c r="A7" s="13" t="s">
        <v>18</v>
      </c>
      <c r="B7" s="14" t="s">
        <v>19</v>
      </c>
      <c r="C7" s="14" t="s">
        <v>20</v>
      </c>
      <c r="D7" s="21" t="s">
        <v>25</v>
      </c>
      <c r="E7" s="14" t="s">
        <v>10</v>
      </c>
      <c r="F7" s="14">
        <v>47000</v>
      </c>
      <c r="G7" s="15">
        <v>46055</v>
      </c>
      <c r="H7" s="16">
        <f>IF(F7&gt;60000,$Q$2,$Q$2/2)</f>
        <v>0.05</v>
      </c>
      <c r="I7" s="17">
        <f>F7*H7</f>
        <v>2350</v>
      </c>
      <c r="J7" s="9">
        <f>IFERROR(VLOOKUP(C7,Budget!$A$2:$B$4,2,FALSE),"Not Found")</f>
        <v>150000</v>
      </c>
      <c r="K7" s="9" t="str">
        <f>LEFT(A7,2)</f>
        <v>NR</v>
      </c>
      <c r="L7" s="9" t="str">
        <f>MID(A7,4,4)</f>
        <v>2023</v>
      </c>
    </row>
    <row r="8" spans="1:17" s="3" customFormat="1" ht="31.5" customHeight="1" x14ac:dyDescent="0.25">
      <c r="A8" s="18" t="s">
        <v>26</v>
      </c>
      <c r="B8" s="19" t="s">
        <v>27</v>
      </c>
      <c r="C8" s="19" t="s">
        <v>20</v>
      </c>
      <c r="D8" s="19" t="s">
        <v>9</v>
      </c>
      <c r="E8" s="19" t="s">
        <v>17</v>
      </c>
      <c r="F8" s="19">
        <v>39000</v>
      </c>
      <c r="G8" s="20">
        <v>46084</v>
      </c>
      <c r="H8" s="16">
        <f>IF(F8&gt;60000,$Q$2,$Q$2/2)</f>
        <v>0.05</v>
      </c>
      <c r="I8" s="17">
        <f>F8*H8</f>
        <v>1950</v>
      </c>
      <c r="J8" s="9">
        <f>IFERROR(VLOOKUP(C8,Budget!$A$2:$B$4,2,FALSE),"Not Found")</f>
        <v>150000</v>
      </c>
      <c r="K8" s="9" t="str">
        <f>LEFT(A8,2)</f>
        <v>NR</v>
      </c>
      <c r="L8" s="9" t="str">
        <f>MID(A8,4,4)</f>
        <v>2023</v>
      </c>
    </row>
    <row r="9" spans="1:17" s="3" customFormat="1" ht="31.5" customHeight="1" x14ac:dyDescent="0.25">
      <c r="A9" s="18" t="s">
        <v>11</v>
      </c>
      <c r="B9" s="19" t="s">
        <v>37</v>
      </c>
      <c r="C9" s="19" t="s">
        <v>12</v>
      </c>
      <c r="D9" s="19" t="s">
        <v>13</v>
      </c>
      <c r="E9" s="19" t="s">
        <v>14</v>
      </c>
      <c r="F9" s="19">
        <v>31000</v>
      </c>
      <c r="G9" s="20">
        <v>46034</v>
      </c>
      <c r="H9" s="16">
        <f>IF(F9&gt;60000,$Q$2,$Q$2/2)</f>
        <v>0.05</v>
      </c>
      <c r="I9" s="17">
        <f>F9*H9</f>
        <v>1550</v>
      </c>
      <c r="J9" s="9">
        <f>IFERROR(VLOOKUP(C9,Budget!$A$2:$B$4,2,FALSE),"Not Found")</f>
        <v>120000</v>
      </c>
      <c r="K9" s="9" t="str">
        <f>LEFT(A9,2)</f>
        <v>NR</v>
      </c>
      <c r="L9" s="9" t="str">
        <f>MID(A9,4,4)</f>
        <v>2023</v>
      </c>
    </row>
    <row r="10" spans="1:17" s="3" customFormat="1" ht="31.5" customHeight="1" x14ac:dyDescent="0.25">
      <c r="A10" s="24" t="s">
        <v>24</v>
      </c>
      <c r="B10" s="25" t="s">
        <v>38</v>
      </c>
      <c r="C10" s="25" t="s">
        <v>12</v>
      </c>
      <c r="D10" s="25" t="s">
        <v>25</v>
      </c>
      <c r="E10" s="25" t="s">
        <v>14</v>
      </c>
      <c r="F10" s="25">
        <v>29000</v>
      </c>
      <c r="G10" s="26">
        <v>46075</v>
      </c>
      <c r="H10" s="22">
        <f>IF(F10&gt;60000,$Q$2,$Q$2/2)</f>
        <v>0.05</v>
      </c>
      <c r="I10" s="23">
        <f>F10*H10</f>
        <v>1450</v>
      </c>
      <c r="J10" s="9">
        <f>IFERROR(VLOOKUP(C10,Budget!$A$2:$B$4,2,FALSE),"Not Found")</f>
        <v>120000</v>
      </c>
      <c r="K10" s="9" t="str">
        <f>LEFT(A10,2)</f>
        <v>NR</v>
      </c>
      <c r="L10" s="9" t="str">
        <f>MID(A10,4,4)</f>
        <v>2023</v>
      </c>
    </row>
    <row r="11" spans="1:17" s="3" customFormat="1" ht="31.5" customHeight="1" x14ac:dyDescent="0.25">
      <c r="A11"/>
      <c r="B11"/>
      <c r="C11"/>
      <c r="D11"/>
      <c r="E11"/>
      <c r="F11"/>
      <c r="G11"/>
      <c r="H11"/>
      <c r="I11"/>
      <c r="J11"/>
      <c r="K11"/>
      <c r="L11"/>
    </row>
    <row r="12" spans="1:17" s="3" customFormat="1" ht="31.5" customHeight="1" x14ac:dyDescent="0.25"/>
    <row r="13" spans="1:17" s="3" customFormat="1" ht="31.5" customHeight="1" x14ac:dyDescent="0.25"/>
    <row r="14" spans="1:17" s="3" customFormat="1" ht="31.5" customHeight="1" x14ac:dyDescent="0.25">
      <c r="A14" s="27" t="s">
        <v>46</v>
      </c>
    </row>
    <row r="15" spans="1:17" s="3" customFormat="1" ht="31.5" customHeight="1" x14ac:dyDescent="0.25"/>
    <row r="16" spans="1:17" s="3" customFormat="1" ht="31.5" customHeight="1" x14ac:dyDescent="0.25"/>
    <row r="17" spans="1:1" s="3" customFormat="1" ht="31.5" customHeight="1" x14ac:dyDescent="0.25"/>
    <row r="18" spans="1:1" s="3" customFormat="1" ht="31.5" customHeight="1" x14ac:dyDescent="0.25"/>
    <row r="19" spans="1:1" s="3" customFormat="1" ht="31.5" customHeight="1" x14ac:dyDescent="0.25"/>
    <row r="20" spans="1:1" s="3" customFormat="1" ht="31.5" customHeight="1" x14ac:dyDescent="0.25"/>
    <row r="21" spans="1:1" s="3" customFormat="1" ht="31.5" customHeight="1" x14ac:dyDescent="0.25"/>
    <row r="22" spans="1:1" s="3" customFormat="1" ht="31.5" customHeight="1" x14ac:dyDescent="0.25">
      <c r="A22" s="27" t="s">
        <v>47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DFF4-311F-4E7D-B6FD-1D5CD9CA5A21}">
  <dimension ref="A1:B9"/>
  <sheetViews>
    <sheetView workbookViewId="0">
      <selection activeCell="C19" sqref="C19"/>
    </sheetView>
  </sheetViews>
  <sheetFormatPr defaultRowHeight="15" x14ac:dyDescent="0.25"/>
  <cols>
    <col min="1" max="1" width="17.5703125" customWidth="1"/>
    <col min="2" max="2" width="18.42578125" customWidth="1"/>
  </cols>
  <sheetData>
    <row r="1" spans="1:2" s="3" customFormat="1" ht="32.25" customHeight="1" thickBot="1" x14ac:dyDescent="0.3">
      <c r="A1" s="1" t="s">
        <v>2</v>
      </c>
      <c r="B1" s="2" t="s">
        <v>31</v>
      </c>
    </row>
    <row r="2" spans="1:2" s="3" customFormat="1" ht="32.25" customHeight="1" thickBot="1" x14ac:dyDescent="0.3">
      <c r="A2" s="4" t="s">
        <v>5</v>
      </c>
      <c r="B2" s="5">
        <v>300000</v>
      </c>
    </row>
    <row r="3" spans="1:2" s="3" customFormat="1" ht="32.25" customHeight="1" thickBot="1" x14ac:dyDescent="0.3">
      <c r="A3" s="6" t="s">
        <v>12</v>
      </c>
      <c r="B3" s="7">
        <v>120000</v>
      </c>
    </row>
    <row r="4" spans="1:2" s="3" customFormat="1" ht="32.25" customHeight="1" thickBot="1" x14ac:dyDescent="0.3">
      <c r="A4" s="4" t="s">
        <v>20</v>
      </c>
      <c r="B4" s="5">
        <v>150000</v>
      </c>
    </row>
    <row r="5" spans="1:2" s="3" customFormat="1" ht="32.25" customHeight="1" x14ac:dyDescent="0.25"/>
    <row r="6" spans="1:2" s="3" customFormat="1" ht="32.25" customHeight="1" x14ac:dyDescent="0.25"/>
    <row r="7" spans="1:2" s="3" customFormat="1" ht="32.25" customHeight="1" x14ac:dyDescent="0.25"/>
    <row r="8" spans="1:2" s="3" customFormat="1" ht="32.25" customHeight="1" x14ac:dyDescent="0.25"/>
    <row r="9" spans="1:2" s="3" customFormat="1" ht="32.2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raw</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Poojary</dc:creator>
  <cp:lastModifiedBy>Ankit Poojary</cp:lastModifiedBy>
  <dcterms:created xsi:type="dcterms:W3CDTF">2026-08-19T17:29:06Z</dcterms:created>
  <dcterms:modified xsi:type="dcterms:W3CDTF">2026-08-19T18:14:35Z</dcterms:modified>
</cp:coreProperties>
</file>