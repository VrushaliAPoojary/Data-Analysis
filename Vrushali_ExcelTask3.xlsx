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SN22AI062VAP\StayEase-Data-Analysis\"/>
    </mc:Choice>
  </mc:AlternateContent>
  <xr:revisionPtr revIDLastSave="0" documentId="13_ncr:1_{F215A233-0D5B-4F44-98C3-D907551E1040}" xr6:coauthVersionLast="47" xr6:coauthVersionMax="47" xr10:uidLastSave="{00000000-0000-0000-0000-000000000000}"/>
  <bookViews>
    <workbookView xWindow="-120" yWindow="-120" windowWidth="29040" windowHeight="15720" xr2:uid="{1A50D837-659B-4A47-A9F5-B1C02E93019E}"/>
  </bookViews>
  <sheets>
    <sheet name="Employee Mast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O6" i="1"/>
  <c r="N6" i="1"/>
  <c r="M6" i="1"/>
  <c r="K6" i="1"/>
  <c r="U2" i="1"/>
  <c r="S2" i="1"/>
  <c r="R2" i="1"/>
  <c r="Q2" i="1"/>
  <c r="B14" i="1"/>
  <c r="O3" i="1"/>
  <c r="N3" i="1"/>
  <c r="M3" i="1"/>
  <c r="L3" i="1"/>
</calcChain>
</file>

<file path=xl/sharedStrings.xml><?xml version="1.0" encoding="utf-8"?>
<sst xmlns="http://schemas.openxmlformats.org/spreadsheetml/2006/main" count="58" uniqueCount="51">
  <si>
    <t>Employee ID</t>
  </si>
  <si>
    <t>Employee Name</t>
  </si>
  <si>
    <t>Department</t>
  </si>
  <si>
    <t>Salary</t>
  </si>
  <si>
    <t>Location</t>
  </si>
  <si>
    <t>EMP1001</t>
  </si>
  <si>
    <t>Rahul Kumar</t>
  </si>
  <si>
    <t>Sales</t>
  </si>
  <si>
    <t>Bengaluru</t>
  </si>
  <si>
    <t>EMP1002</t>
  </si>
  <si>
    <t>Priya Sharma</t>
  </si>
  <si>
    <t>HR</t>
  </si>
  <si>
    <t>Mumbai</t>
  </si>
  <si>
    <t>EMP1003</t>
  </si>
  <si>
    <t>Arjun Shetty</t>
  </si>
  <si>
    <t>IT</t>
  </si>
  <si>
    <t>Hubballi</t>
  </si>
  <si>
    <t>EMP1004</t>
  </si>
  <si>
    <t>Sneha Rao</t>
  </si>
  <si>
    <t>Finance</t>
  </si>
  <si>
    <t>Pune</t>
  </si>
  <si>
    <t>EMP1005</t>
  </si>
  <si>
    <t>Kiran Nayak</t>
  </si>
  <si>
    <t>Product</t>
  </si>
  <si>
    <t>Jan</t>
  </si>
  <si>
    <t>Feb</t>
  </si>
  <si>
    <t>Mar</t>
  </si>
  <si>
    <t>Laptop</t>
  </si>
  <si>
    <t>Mouse</t>
  </si>
  <si>
    <t>Keyboard</t>
  </si>
  <si>
    <t>ID_Text</t>
  </si>
  <si>
    <t>EMP1025</t>
  </si>
  <si>
    <t>EMP1099</t>
  </si>
  <si>
    <t>EMP1153</t>
  </si>
  <si>
    <t xml:space="preserve">   Priya Sharma   </t>
  </si>
  <si>
    <t>Arjun   Shetty</t>
  </si>
  <si>
    <t>search id</t>
  </si>
  <si>
    <t>Name</t>
  </si>
  <si>
    <t>Search Month</t>
  </si>
  <si>
    <t>Mouse sales</t>
  </si>
  <si>
    <t>Position Test</t>
  </si>
  <si>
    <t>Dept via I+M</t>
  </si>
  <si>
    <t>salary</t>
  </si>
  <si>
    <t>Safe Lookup</t>
  </si>
  <si>
    <t>XLOOKUP Result</t>
  </si>
  <si>
    <t>Prefix</t>
  </si>
  <si>
    <t>Last4</t>
  </si>
  <si>
    <t>Middle</t>
  </si>
  <si>
    <t>Length</t>
  </si>
  <si>
    <t>Cleaned</t>
  </si>
  <si>
    <t>Cleaned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</si>
</sst>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E74B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3636-B5BC-427D-A9EF-1E31FD06BCA9}">
  <dimension ref="A1:U21"/>
  <sheetViews>
    <sheetView tabSelected="1" zoomScale="72" workbookViewId="0">
      <selection activeCell="H2" sqref="H2:H6"/>
    </sheetView>
  </sheetViews>
  <sheetFormatPr defaultRowHeight="15.75" x14ac:dyDescent="0.25"/>
  <cols>
    <col min="1" max="5" width="18" style="9" customWidth="1"/>
    <col min="6" max="6" width="9.85546875" style="9" customWidth="1"/>
    <col min="7" max="9" width="20" style="9" customWidth="1"/>
    <col min="10" max="10" width="9.85546875" style="9" customWidth="1"/>
    <col min="11" max="15" width="18" style="9" customWidth="1"/>
    <col min="16" max="16" width="5.5703125" style="9" customWidth="1"/>
    <col min="17" max="17" width="14.28515625" style="9" customWidth="1"/>
    <col min="18" max="18" width="17.140625" style="9" customWidth="1"/>
    <col min="19" max="19" width="9.140625" style="9"/>
    <col min="20" max="30" width="25.5703125" style="9" customWidth="1"/>
    <col min="31" max="16384" width="9.140625" style="9"/>
  </cols>
  <sheetData>
    <row r="1" spans="1:21" ht="39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0" t="s">
        <v>48</v>
      </c>
      <c r="G1" s="10" t="s">
        <v>49</v>
      </c>
      <c r="H1" s="10" t="s">
        <v>50</v>
      </c>
      <c r="I1" s="10"/>
      <c r="J1" s="10"/>
      <c r="K1" s="1"/>
      <c r="L1" s="1"/>
      <c r="M1" s="1"/>
      <c r="N1" s="1"/>
      <c r="O1" s="1"/>
      <c r="P1" s="1"/>
      <c r="Q1" s="7" t="s">
        <v>40</v>
      </c>
      <c r="R1" s="8" t="s">
        <v>41</v>
      </c>
      <c r="S1" s="7" t="s">
        <v>42</v>
      </c>
      <c r="U1" s="7" t="s">
        <v>43</v>
      </c>
    </row>
    <row r="2" spans="1:21" ht="39" customHeight="1" thickBot="1" x14ac:dyDescent="0.3">
      <c r="A2" s="4" t="s">
        <v>5</v>
      </c>
      <c r="B2" s="5" t="s">
        <v>6</v>
      </c>
      <c r="C2" s="5" t="s">
        <v>7</v>
      </c>
      <c r="D2" s="5">
        <v>35000</v>
      </c>
      <c r="E2" s="5" t="s">
        <v>8</v>
      </c>
      <c r="F2" s="1">
        <f>LEN(A2)</f>
        <v>7</v>
      </c>
      <c r="G2" s="1" t="str">
        <f>TRIM(A2)</f>
        <v>EMP1001</v>
      </c>
      <c r="H2" s="1">
        <f>LEN(F2)</f>
        <v>1</v>
      </c>
      <c r="I2" s="1"/>
      <c r="J2" s="1"/>
      <c r="K2" s="6" t="s">
        <v>36</v>
      </c>
      <c r="L2" s="6" t="s">
        <v>37</v>
      </c>
      <c r="M2" s="6" t="s">
        <v>2</v>
      </c>
      <c r="N2" s="6" t="s">
        <v>3</v>
      </c>
      <c r="O2" s="6" t="s">
        <v>4</v>
      </c>
      <c r="P2" s="1"/>
      <c r="Q2" s="9">
        <f>MATCH("Arjun Shetty",B2:B6,0)</f>
        <v>3</v>
      </c>
      <c r="R2" s="9" t="str">
        <f>INDEX(C2:C6,MATCH("Arjun Shetty",B2:B6,0))</f>
        <v>IT</v>
      </c>
      <c r="S2" s="9">
        <f>INDEX(D2:D6,MATCH("Arjun Shetty",B2:B6,0))</f>
        <v>55000</v>
      </c>
      <c r="U2" s="9" t="str">
        <f>IFERROR(VLOOKUP(K2,A2:E6,6,FALSE),"NOT FOUND")</f>
        <v>NOT FOUND</v>
      </c>
    </row>
    <row r="3" spans="1:21" ht="39" customHeight="1" thickBot="1" x14ac:dyDescent="0.3">
      <c r="A3" s="4" t="s">
        <v>9</v>
      </c>
      <c r="B3" s="5" t="s">
        <v>10</v>
      </c>
      <c r="C3" s="5" t="s">
        <v>11</v>
      </c>
      <c r="D3" s="5">
        <v>42000</v>
      </c>
      <c r="E3" s="5" t="s">
        <v>12</v>
      </c>
      <c r="F3" s="1">
        <f t="shared" ref="F3:F6" si="0">LEN(A3)</f>
        <v>7</v>
      </c>
      <c r="G3" s="1" t="str">
        <f t="shared" ref="G3:G6" si="1">TRIM(A3)</f>
        <v>EMP1002</v>
      </c>
      <c r="H3" s="1">
        <f t="shared" ref="H3:H6" si="2">LEN(F3)</f>
        <v>1</v>
      </c>
      <c r="I3" s="1"/>
      <c r="J3" s="1"/>
      <c r="K3" s="1" t="s">
        <v>9</v>
      </c>
      <c r="L3" s="1" t="str">
        <f>VLOOKUP(K3,A2:E6,2)</f>
        <v>Priya Sharma</v>
      </c>
      <c r="M3" s="1" t="str">
        <f>VLOOKUP(K3,A2:E6,3)</f>
        <v>HR</v>
      </c>
      <c r="N3" s="1">
        <f>VLOOKUP(K3,A2:E6,4)</f>
        <v>42000</v>
      </c>
      <c r="O3" s="1" t="str">
        <f>VLOOKUP(K3,A2:E6,5)</f>
        <v>Mumbai</v>
      </c>
      <c r="P3" s="1"/>
    </row>
    <row r="4" spans="1:21" ht="39" customHeight="1" thickBot="1" x14ac:dyDescent="0.3">
      <c r="A4" s="4" t="s">
        <v>13</v>
      </c>
      <c r="B4" s="5" t="s">
        <v>14</v>
      </c>
      <c r="C4" s="5" t="s">
        <v>15</v>
      </c>
      <c r="D4" s="5">
        <v>55000</v>
      </c>
      <c r="E4" s="5" t="s">
        <v>16</v>
      </c>
      <c r="F4" s="1">
        <f t="shared" si="0"/>
        <v>7</v>
      </c>
      <c r="G4" s="1" t="str">
        <f t="shared" si="1"/>
        <v>EMP1003</v>
      </c>
      <c r="H4" s="1">
        <f t="shared" si="2"/>
        <v>1</v>
      </c>
      <c r="I4" s="1"/>
      <c r="J4" s="1"/>
      <c r="K4" s="1"/>
      <c r="L4" s="1"/>
      <c r="M4" s="1"/>
      <c r="N4" s="1"/>
      <c r="O4" s="1"/>
      <c r="P4" s="1"/>
    </row>
    <row r="5" spans="1:21" ht="39" customHeight="1" thickBot="1" x14ac:dyDescent="0.3">
      <c r="A5" s="4" t="s">
        <v>17</v>
      </c>
      <c r="B5" s="5" t="s">
        <v>18</v>
      </c>
      <c r="C5" s="5" t="s">
        <v>19</v>
      </c>
      <c r="D5" s="5">
        <v>45000</v>
      </c>
      <c r="E5" s="5" t="s">
        <v>20</v>
      </c>
      <c r="F5" s="1">
        <f t="shared" si="0"/>
        <v>7</v>
      </c>
      <c r="G5" s="1" t="str">
        <f t="shared" si="1"/>
        <v>EMP1004</v>
      </c>
      <c r="H5" s="1">
        <f t="shared" si="2"/>
        <v>1</v>
      </c>
      <c r="I5" s="1"/>
      <c r="J5" s="1"/>
      <c r="K5" s="6" t="s">
        <v>44</v>
      </c>
      <c r="L5" s="1"/>
      <c r="M5" s="6" t="s">
        <v>45</v>
      </c>
      <c r="N5" s="6" t="s">
        <v>46</v>
      </c>
      <c r="O5" s="6" t="s">
        <v>47</v>
      </c>
      <c r="P5" s="1"/>
      <c r="Q5"/>
    </row>
    <row r="6" spans="1:21" ht="39" customHeight="1" thickBot="1" x14ac:dyDescent="0.3">
      <c r="A6" s="4" t="s">
        <v>21</v>
      </c>
      <c r="B6" s="5" t="s">
        <v>22</v>
      </c>
      <c r="C6" s="5" t="s">
        <v>15</v>
      </c>
      <c r="D6" s="5">
        <v>60000</v>
      </c>
      <c r="E6" s="5" t="s">
        <v>16</v>
      </c>
      <c r="F6" s="1">
        <f t="shared" si="0"/>
        <v>7</v>
      </c>
      <c r="G6" s="1" t="str">
        <f t="shared" si="1"/>
        <v>EMP1005</v>
      </c>
      <c r="H6" s="1">
        <f t="shared" si="2"/>
        <v>1</v>
      </c>
      <c r="I6" s="1"/>
      <c r="J6" s="1"/>
      <c r="K6" s="1" t="e">
        <f ca="1">XLOOKUP(K2,A2:A6,B2:B6,"Not Found")</f>
        <v>#NAME?</v>
      </c>
      <c r="L6" s="1"/>
      <c r="M6" s="1" t="str">
        <f>LEFT(A2,3)</f>
        <v>EMP</v>
      </c>
      <c r="N6" s="1" t="str">
        <f>RIGHT(A2,4)</f>
        <v>1001</v>
      </c>
      <c r="O6" s="1" t="str">
        <f>MID(A2,4,4)</f>
        <v>1001</v>
      </c>
      <c r="P6" s="1"/>
    </row>
    <row r="7" spans="1:21" ht="16.5" thickBot="1" x14ac:dyDescent="0.3"/>
    <row r="8" spans="1:21" ht="30" customHeight="1" thickBot="1" x14ac:dyDescent="0.3">
      <c r="A8" s="2" t="s">
        <v>23</v>
      </c>
      <c r="B8" s="3" t="s">
        <v>24</v>
      </c>
      <c r="C8" s="3" t="s">
        <v>25</v>
      </c>
      <c r="D8" s="3" t="s">
        <v>26</v>
      </c>
    </row>
    <row r="9" spans="1:21" ht="30" customHeight="1" thickBot="1" x14ac:dyDescent="0.3">
      <c r="A9" s="4" t="s">
        <v>27</v>
      </c>
      <c r="B9" s="5">
        <v>50000</v>
      </c>
      <c r="C9" s="5">
        <v>55000</v>
      </c>
      <c r="D9" s="5">
        <v>60000</v>
      </c>
    </row>
    <row r="10" spans="1:21" ht="30" customHeight="1" thickBot="1" x14ac:dyDescent="0.3">
      <c r="A10" s="4" t="s">
        <v>28</v>
      </c>
      <c r="B10" s="5">
        <v>5000</v>
      </c>
      <c r="C10" s="5">
        <v>5500</v>
      </c>
      <c r="D10" s="5">
        <v>6000</v>
      </c>
    </row>
    <row r="11" spans="1:21" ht="30" customHeight="1" thickBot="1" x14ac:dyDescent="0.3">
      <c r="A11" s="4" t="s">
        <v>29</v>
      </c>
      <c r="B11" s="5">
        <v>8000</v>
      </c>
      <c r="C11" s="5">
        <v>8200</v>
      </c>
      <c r="D11" s="5">
        <v>8500</v>
      </c>
    </row>
    <row r="13" spans="1:21" x14ac:dyDescent="0.25">
      <c r="A13" s="9" t="s">
        <v>38</v>
      </c>
      <c r="B13" s="9" t="s">
        <v>26</v>
      </c>
    </row>
    <row r="14" spans="1:21" x14ac:dyDescent="0.25">
      <c r="A14" s="9" t="s">
        <v>39</v>
      </c>
      <c r="B14" s="9">
        <f>HLOOKUP(B13,A8:D11,3,FALSE)</f>
        <v>6000</v>
      </c>
    </row>
    <row r="15" spans="1:21" ht="16.5" thickBot="1" x14ac:dyDescent="0.3"/>
    <row r="16" spans="1:21" ht="16.5" thickBot="1" x14ac:dyDescent="0.3">
      <c r="B16" s="2" t="s">
        <v>30</v>
      </c>
    </row>
    <row r="17" spans="2:2" ht="16.5" thickBot="1" x14ac:dyDescent="0.3">
      <c r="B17" s="4" t="s">
        <v>31</v>
      </c>
    </row>
    <row r="18" spans="2:2" ht="16.5" thickBot="1" x14ac:dyDescent="0.3">
      <c r="B18" s="4" t="s">
        <v>32</v>
      </c>
    </row>
    <row r="19" spans="2:2" ht="16.5" thickBot="1" x14ac:dyDescent="0.3">
      <c r="B19" s="4" t="s">
        <v>33</v>
      </c>
    </row>
    <row r="20" spans="2:2" ht="16.5" thickBot="1" x14ac:dyDescent="0.3">
      <c r="B20" s="4" t="s">
        <v>34</v>
      </c>
    </row>
    <row r="21" spans="2:2" ht="16.5" thickBot="1" x14ac:dyDescent="0.3">
      <c r="B21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Poojary</dc:creator>
  <cp:lastModifiedBy>Ankit Poojary</cp:lastModifiedBy>
  <dcterms:created xsi:type="dcterms:W3CDTF">2026-08-19T05:42:18Z</dcterms:created>
  <dcterms:modified xsi:type="dcterms:W3CDTF">2026-08-19T15:49:40Z</dcterms:modified>
</cp:coreProperties>
</file>